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Home\Running\IB26-model\"/>
    </mc:Choice>
  </mc:AlternateContent>
  <xr:revisionPtr revIDLastSave="0" documentId="13_ncr:1_{D9FE7822-0701-4C5A-B8B3-5A55D4CCDDE1}" xr6:coauthVersionLast="47" xr6:coauthVersionMax="47" xr10:uidLastSave="{00000000-0000-0000-0000-000000000000}"/>
  <bookViews>
    <workbookView xWindow="-108" yWindow="-108" windowWidth="23256" windowHeight="12456" activeTab="5" xr2:uid="{EE566BDF-784E-4604-8F3F-BF1798551DD9}"/>
  </bookViews>
  <sheets>
    <sheet name="Joint Team List" sheetId="11" r:id="rId1"/>
    <sheet name="Runners" sheetId="1" r:id="rId2"/>
    <sheet name="Teams" sheetId="6" r:id="rId3"/>
    <sheet name="Colleges" sheetId="9" r:id="rId4"/>
    <sheet name="AvailTime" sheetId="8" r:id="rId5"/>
    <sheet name="Analysis" sheetId="7" r:id="rId6"/>
  </sheets>
  <definedNames>
    <definedName name="ExternalData_2" localSheetId="0" hidden="1">'Joint Team List'!$A$1:$C$293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74" i="1" l="1" a="1"/>
  <c r="E674" i="1" s="1"/>
  <c r="E1082" i="1" a="1"/>
  <c r="E1082" i="1" s="1"/>
  <c r="E1261" i="1" a="1"/>
  <c r="E1261" i="1" s="1"/>
  <c r="E880" i="1" a="1"/>
  <c r="E880" i="1" s="1"/>
  <c r="E523" i="1" a="1"/>
  <c r="E523" i="1" s="1"/>
  <c r="E665" i="1" a="1"/>
  <c r="E665" i="1" s="1"/>
  <c r="E21" i="1" a="1"/>
  <c r="E21" i="1" s="1"/>
  <c r="E1222" i="1" a="1"/>
  <c r="E1222" i="1" s="1"/>
  <c r="E481" i="1" a="1"/>
  <c r="E481" i="1" s="1"/>
  <c r="E527" i="1" a="1"/>
  <c r="E527" i="1" s="1"/>
  <c r="E564" i="1" a="1"/>
  <c r="E564" i="1" s="1"/>
  <c r="E114" i="1" a="1"/>
  <c r="E114" i="1" s="1"/>
  <c r="E1162" i="1" a="1"/>
  <c r="E1162" i="1" s="1"/>
  <c r="E1299" i="1" a="1"/>
  <c r="E1299" i="1" s="1"/>
  <c r="E91" i="1" a="1"/>
  <c r="E91" i="1" s="1"/>
  <c r="E2" i="1" a="1"/>
  <c r="E2" i="1" s="1"/>
  <c r="E558" i="1" a="1"/>
  <c r="E558" i="1" s="1"/>
  <c r="E399" i="1" a="1"/>
  <c r="E399" i="1" s="1"/>
  <c r="E655" i="1" a="1"/>
  <c r="E655" i="1" s="1"/>
  <c r="E413" i="1" a="1"/>
  <c r="E413" i="1" s="1"/>
  <c r="E1297" i="1" a="1"/>
  <c r="E1297" i="1" s="1"/>
  <c r="E649" i="1" a="1"/>
  <c r="E649" i="1" s="1"/>
  <c r="E137" i="1" a="1"/>
  <c r="E137" i="1" s="1"/>
  <c r="E624" i="1" a="1"/>
  <c r="E624" i="1" s="1"/>
  <c r="E489" i="1" a="1"/>
  <c r="E489" i="1" s="1"/>
  <c r="E759" i="1" a="1"/>
  <c r="E759" i="1" s="1"/>
  <c r="E499" i="1" a="1"/>
  <c r="E499" i="1" s="1"/>
  <c r="E734" i="1" a="1"/>
  <c r="E734" i="1" s="1"/>
  <c r="E556" i="1" a="1"/>
  <c r="E556" i="1" s="1"/>
  <c r="E1166" i="1" a="1"/>
  <c r="E1166" i="1" s="1"/>
  <c r="E1334" i="1" a="1"/>
  <c r="E1334" i="1" s="1"/>
  <c r="E1092" i="1" a="1"/>
  <c r="E1092" i="1" s="1"/>
  <c r="E357" i="1" a="1"/>
  <c r="E357" i="1" s="1"/>
  <c r="E466" i="1" a="1"/>
  <c r="E466" i="1" s="1"/>
  <c r="E1000" i="1" a="1"/>
  <c r="E1000" i="1" s="1"/>
  <c r="E952" i="1" a="1"/>
  <c r="E952" i="1" s="1"/>
  <c r="E265" i="1" a="1"/>
  <c r="E265" i="1" s="1"/>
  <c r="E165" i="1" a="1"/>
  <c r="E165" i="1" s="1"/>
  <c r="E1204" i="1" a="1"/>
  <c r="E1204" i="1" s="1"/>
  <c r="E238" i="1" a="1"/>
  <c r="E238" i="1" s="1"/>
  <c r="E339" i="1" a="1"/>
  <c r="E339" i="1" s="1"/>
  <c r="E526" i="1" a="1"/>
  <c r="E526" i="1" s="1"/>
  <c r="E509" i="1" a="1"/>
  <c r="E509" i="1" s="1"/>
  <c r="E867" i="1" a="1"/>
  <c r="E867" i="1" s="1"/>
  <c r="E246" i="1" a="1"/>
  <c r="E246" i="1" s="1"/>
  <c r="E1074" i="1" a="1"/>
  <c r="E1074" i="1" s="1"/>
  <c r="E1012" i="1" a="1"/>
  <c r="E1012" i="1" s="1"/>
  <c r="E653" i="1" a="1"/>
  <c r="E653" i="1" s="1"/>
  <c r="E1146" i="1" a="1"/>
  <c r="E1146" i="1" s="1"/>
  <c r="E771" i="1" a="1"/>
  <c r="E771" i="1" s="1"/>
  <c r="E601" i="1" a="1"/>
  <c r="E601" i="1" s="1"/>
  <c r="E923" i="1" a="1"/>
  <c r="E923" i="1" s="1"/>
  <c r="E1116" i="1" a="1"/>
  <c r="E1116" i="1" s="1"/>
  <c r="E738" i="1" a="1"/>
  <c r="E738" i="1" s="1"/>
  <c r="E225" i="1" a="1"/>
  <c r="E225" i="1" s="1"/>
  <c r="E685" i="1" a="1"/>
  <c r="E685" i="1" s="1"/>
  <c r="E345" i="1" a="1"/>
  <c r="E345" i="1" s="1"/>
  <c r="E853" i="1" a="1"/>
  <c r="E853" i="1" s="1"/>
  <c r="E871" i="1" a="1"/>
  <c r="E871" i="1" s="1"/>
  <c r="E492" i="1" a="1"/>
  <c r="E492" i="1" s="1"/>
  <c r="E889" i="1" a="1"/>
  <c r="E889" i="1" s="1"/>
  <c r="E679" i="1" a="1"/>
  <c r="E679" i="1" s="1"/>
  <c r="E192" i="1" a="1"/>
  <c r="E192" i="1" s="1"/>
  <c r="E223" i="1" a="1"/>
  <c r="E223" i="1" s="1"/>
  <c r="E735" i="1" a="1"/>
  <c r="E735" i="1" s="1"/>
  <c r="E670" i="1" a="1"/>
  <c r="E670" i="1" s="1"/>
  <c r="E1241" i="1" a="1"/>
  <c r="E1241" i="1" s="1"/>
  <c r="E53" i="1" a="1"/>
  <c r="E53" i="1" s="1"/>
  <c r="E1177" i="1" a="1"/>
  <c r="E1177" i="1" s="1"/>
  <c r="E1329" i="1" a="1"/>
  <c r="E1329" i="1" s="1"/>
  <c r="E595" i="1" a="1"/>
  <c r="E595" i="1" s="1"/>
  <c r="E798" i="1" a="1"/>
  <c r="E798" i="1" s="1"/>
  <c r="E342" i="1" a="1"/>
  <c r="E342" i="1" s="1"/>
  <c r="E129" i="1" a="1"/>
  <c r="E129" i="1" s="1"/>
  <c r="E927" i="1" a="1"/>
  <c r="E927" i="1" s="1"/>
  <c r="E864" i="1" a="1"/>
  <c r="E864" i="1" s="1"/>
  <c r="E296" i="1" a="1"/>
  <c r="E296" i="1" s="1"/>
  <c r="E1365" i="1" a="1"/>
  <c r="E1365" i="1" s="1"/>
  <c r="E196" i="1" a="1"/>
  <c r="E196" i="1" s="1"/>
  <c r="E55" i="1" a="1"/>
  <c r="E55" i="1" s="1"/>
  <c r="E507" i="1" a="1"/>
  <c r="E507" i="1" s="1"/>
  <c r="E276" i="1" a="1"/>
  <c r="E276" i="1" s="1"/>
  <c r="E1133" i="1" a="1"/>
  <c r="E1133" i="1" s="1"/>
  <c r="E854" i="1" a="1"/>
  <c r="E854" i="1" s="1"/>
  <c r="E258" i="1" a="1"/>
  <c r="E258" i="1" s="1"/>
  <c r="E1322" i="1" a="1"/>
  <c r="E1322" i="1" s="1"/>
  <c r="E762" i="1" a="1"/>
  <c r="E762" i="1" s="1"/>
  <c r="E616" i="1" a="1"/>
  <c r="E616" i="1" s="1"/>
  <c r="E98" i="1" a="1"/>
  <c r="E98" i="1" s="1"/>
  <c r="E917" i="1" a="1"/>
  <c r="E917" i="1" s="1"/>
  <c r="E214" i="1" a="1"/>
  <c r="E214" i="1" s="1"/>
  <c r="E1307" i="1" a="1"/>
  <c r="E1307" i="1" s="1"/>
  <c r="E1278" i="1" a="1"/>
  <c r="E1278" i="1" s="1"/>
  <c r="E181" i="1" a="1"/>
  <c r="E181" i="1" s="1"/>
  <c r="E1168" i="1" a="1"/>
  <c r="E1168" i="1" s="1"/>
  <c r="E1367" i="1" a="1"/>
  <c r="E1367" i="1" s="1"/>
  <c r="E123" i="1" a="1"/>
  <c r="E123" i="1" s="1"/>
  <c r="E475" i="1" a="1"/>
  <c r="E475" i="1" s="1"/>
  <c r="E716" i="1" a="1"/>
  <c r="E716" i="1" s="1"/>
  <c r="E808" i="1" a="1"/>
  <c r="E808" i="1" s="1"/>
  <c r="E1301" i="1" a="1"/>
  <c r="E1301" i="1" s="1"/>
  <c r="E1209" i="1" a="1"/>
  <c r="E1209" i="1" s="1"/>
  <c r="E851" i="1" a="1"/>
  <c r="E851" i="1" s="1"/>
  <c r="E900" i="1" a="1"/>
  <c r="E900" i="1" s="1"/>
  <c r="E257" i="1" a="1"/>
  <c r="E257" i="1" s="1"/>
  <c r="E458" i="1" a="1"/>
  <c r="E458" i="1" s="1"/>
  <c r="E732" i="1" a="1"/>
  <c r="E732" i="1" s="1"/>
  <c r="E163" i="1" a="1"/>
  <c r="E163" i="1" s="1"/>
  <c r="E232" i="1" a="1"/>
  <c r="E232" i="1" s="1"/>
  <c r="E552" i="1" a="1"/>
  <c r="E552" i="1" s="1"/>
  <c r="E386" i="1" a="1"/>
  <c r="E386" i="1" s="1"/>
  <c r="E1004" i="1" a="1"/>
  <c r="E1004" i="1" s="1"/>
  <c r="E836" i="1" a="1"/>
  <c r="E836" i="1" s="1"/>
  <c r="E999" i="1" a="1"/>
  <c r="E999" i="1" s="1"/>
  <c r="E427" i="1" a="1"/>
  <c r="E427" i="1" s="1"/>
  <c r="E323" i="1" a="1"/>
  <c r="E323" i="1" s="1"/>
  <c r="E78" i="1" a="1"/>
  <c r="E78" i="1" s="1"/>
  <c r="E200" i="1" a="1"/>
  <c r="E200" i="1" s="1"/>
  <c r="E1174" i="1" a="1"/>
  <c r="E1174" i="1" s="1"/>
  <c r="E1282" i="1" a="1"/>
  <c r="E1282" i="1" s="1"/>
  <c r="E925" i="1" a="1"/>
  <c r="E925" i="1" s="1"/>
  <c r="E75" i="1" a="1"/>
  <c r="E75" i="1" s="1"/>
  <c r="E132" i="1" a="1"/>
  <c r="E132" i="1" s="1"/>
  <c r="E1257" i="1" a="1"/>
  <c r="E1257" i="1" s="1"/>
  <c r="E987" i="1" a="1"/>
  <c r="E987" i="1" s="1"/>
  <c r="E483" i="1" a="1"/>
  <c r="E483" i="1" s="1"/>
  <c r="E260" i="1" a="1"/>
  <c r="E260" i="1" s="1"/>
  <c r="E726" i="1" a="1"/>
  <c r="E726" i="1" s="1"/>
  <c r="E10" i="1" a="1"/>
  <c r="E10" i="1" s="1"/>
  <c r="E419" i="1" a="1"/>
  <c r="E419" i="1" s="1"/>
  <c r="E1054" i="1" a="1"/>
  <c r="E1054" i="1" s="1"/>
  <c r="E131" i="1" a="1"/>
  <c r="E131" i="1" s="1"/>
  <c r="E878" i="1" a="1"/>
  <c r="E878" i="1" s="1"/>
  <c r="E1337" i="1" a="1"/>
  <c r="E1337" i="1" s="1"/>
  <c r="E1245" i="1" a="1"/>
  <c r="E1245" i="1" s="1"/>
  <c r="E327" i="1" a="1"/>
  <c r="E327" i="1" s="1"/>
  <c r="E609" i="1" a="1"/>
  <c r="E609" i="1" s="1"/>
  <c r="E861" i="1" a="1"/>
  <c r="E861" i="1" s="1"/>
  <c r="E622" i="1" a="1"/>
  <c r="E622" i="1" s="1"/>
  <c r="E431" i="1" a="1"/>
  <c r="E431" i="1" s="1"/>
  <c r="E1127" i="1" a="1"/>
  <c r="E1127" i="1" s="1"/>
  <c r="E1099" i="1" a="1"/>
  <c r="E1099" i="1" s="1"/>
  <c r="E560" i="1" a="1"/>
  <c r="E560" i="1" s="1"/>
  <c r="E1243" i="1" a="1"/>
  <c r="E1243" i="1" s="1"/>
  <c r="E786" i="1" a="1"/>
  <c r="E786" i="1" s="1"/>
  <c r="E244" i="1" a="1"/>
  <c r="E244" i="1" s="1"/>
  <c r="E892" i="1" a="1"/>
  <c r="E892" i="1" s="1"/>
  <c r="E972" i="1" a="1"/>
  <c r="E972" i="1" s="1"/>
  <c r="E1270" i="1" a="1"/>
  <c r="E1270" i="1" s="1"/>
  <c r="E20" i="1" a="1"/>
  <c r="E20" i="1" s="1"/>
  <c r="E810" i="1" a="1"/>
  <c r="E810" i="1" s="1"/>
  <c r="E506" i="1" a="1"/>
  <c r="E506" i="1" s="1"/>
  <c r="E198" i="1" a="1"/>
  <c r="E198" i="1" s="1"/>
  <c r="E1005" i="1" a="1"/>
  <c r="E1005" i="1" s="1"/>
  <c r="E213" i="1" a="1"/>
  <c r="E213" i="1" s="1"/>
  <c r="E253" i="1" a="1"/>
  <c r="E253" i="1" s="1"/>
  <c r="E845" i="1" a="1"/>
  <c r="E845" i="1" s="1"/>
  <c r="E620" i="1" a="1"/>
  <c r="E620" i="1" s="1"/>
  <c r="E915" i="1" a="1"/>
  <c r="E915" i="1" s="1"/>
  <c r="E890" i="1" a="1"/>
  <c r="E890" i="1" s="1"/>
  <c r="E249" i="1" a="1"/>
  <c r="E249" i="1" s="1"/>
  <c r="E644" i="1" a="1"/>
  <c r="E644" i="1" s="1"/>
  <c r="E311" i="1" a="1"/>
  <c r="E311" i="1" s="1"/>
  <c r="E1202" i="1" a="1"/>
  <c r="E1202" i="1" s="1"/>
  <c r="E1302" i="1" a="1"/>
  <c r="E1302" i="1" s="1"/>
  <c r="E835" i="1" a="1"/>
  <c r="E835" i="1" s="1"/>
  <c r="E643" i="1" a="1"/>
  <c r="E643" i="1" s="1"/>
  <c r="E730" i="1" a="1"/>
  <c r="E730" i="1" s="1"/>
  <c r="E347" i="1" a="1"/>
  <c r="E347" i="1" s="1"/>
  <c r="E65" i="1" a="1"/>
  <c r="E65" i="1" s="1"/>
  <c r="E337" i="1" a="1"/>
  <c r="E337" i="1" s="1"/>
  <c r="E1363" i="1" a="1"/>
  <c r="E1363" i="1" s="1"/>
  <c r="E1195" i="1" a="1"/>
  <c r="E1195" i="1" s="1"/>
  <c r="E723" i="1" a="1"/>
  <c r="E723" i="1" s="1"/>
  <c r="E1262" i="1" a="1"/>
  <c r="E1262" i="1" s="1"/>
  <c r="E332" i="1" a="1"/>
  <c r="E332" i="1" s="1"/>
  <c r="E652" i="1" a="1"/>
  <c r="E652" i="1" s="1"/>
  <c r="E961" i="1" a="1"/>
  <c r="E961" i="1" s="1"/>
  <c r="E912" i="1" a="1"/>
  <c r="E912" i="1" s="1"/>
  <c r="E1220" i="1" a="1"/>
  <c r="E1220" i="1" s="1"/>
  <c r="E621" i="1" a="1"/>
  <c r="E621" i="1" s="1"/>
  <c r="E822" i="1" a="1"/>
  <c r="E822" i="1" s="1"/>
  <c r="E538" i="1" a="1"/>
  <c r="E538" i="1" s="1"/>
  <c r="E590" i="1" a="1"/>
  <c r="E590" i="1" s="1"/>
  <c r="E22" i="1" a="1"/>
  <c r="E22" i="1" s="1"/>
  <c r="E1138" i="1" a="1"/>
  <c r="E1138" i="1" s="1"/>
  <c r="E1266" i="1" a="1"/>
  <c r="E1266" i="1" s="1"/>
  <c r="E1260" i="1" a="1"/>
  <c r="E1260" i="1" s="1"/>
  <c r="E684" i="1" a="1"/>
  <c r="E684" i="1" s="1"/>
  <c r="E1188" i="1" a="1"/>
  <c r="E1188" i="1" s="1"/>
  <c r="E51" i="1" a="1"/>
  <c r="E51" i="1" s="1"/>
  <c r="E236" i="1" a="1"/>
  <c r="E236" i="1" s="1"/>
  <c r="E408" i="1" a="1"/>
  <c r="E408" i="1" s="1"/>
  <c r="E683" i="1" a="1"/>
  <c r="E683" i="1" s="1"/>
  <c r="E881" i="1" a="1"/>
  <c r="E881" i="1" s="1"/>
  <c r="E44" i="1" a="1"/>
  <c r="E44" i="1" s="1"/>
  <c r="E437" i="1" a="1"/>
  <c r="E437" i="1" s="1"/>
  <c r="E473" i="1" a="1"/>
  <c r="E473" i="1" s="1"/>
  <c r="E765" i="1" a="1"/>
  <c r="E765" i="1" s="1"/>
  <c r="E1085" i="1" a="1"/>
  <c r="E1085" i="1" s="1"/>
  <c r="E993" i="1" a="1"/>
  <c r="E993" i="1" s="1"/>
  <c r="E1291" i="1" a="1"/>
  <c r="E1291" i="1" s="1"/>
  <c r="E440" i="1" a="1"/>
  <c r="E440" i="1" s="1"/>
  <c r="E645" i="1" a="1"/>
  <c r="E645" i="1" s="1"/>
  <c r="E405" i="1" a="1"/>
  <c r="E405" i="1" s="1"/>
  <c r="E1065" i="1" a="1"/>
  <c r="E1065" i="1" s="1"/>
  <c r="E118" i="1" a="1"/>
  <c r="E118" i="1" s="1"/>
  <c r="E1192" i="1" a="1"/>
  <c r="E1192" i="1" s="1"/>
  <c r="E613" i="1" a="1"/>
  <c r="E613" i="1" s="1"/>
  <c r="E29" i="1" a="1"/>
  <c r="E29" i="1" s="1"/>
  <c r="E433" i="1" a="1"/>
  <c r="E433" i="1" s="1"/>
  <c r="E1246" i="1" a="1"/>
  <c r="E1246" i="1" s="1"/>
  <c r="E596" i="1" a="1"/>
  <c r="E596" i="1" s="1"/>
  <c r="E122" i="1" a="1"/>
  <c r="E122" i="1" s="1"/>
  <c r="E28" i="1" a="1"/>
  <c r="E28" i="1" s="1"/>
  <c r="E1129" i="1" a="1"/>
  <c r="E1129" i="1" s="1"/>
  <c r="E817" i="1" a="1"/>
  <c r="E817" i="1" s="1"/>
  <c r="E27" i="1" a="1"/>
  <c r="E27" i="1" s="1"/>
  <c r="E487" i="1" a="1"/>
  <c r="E487" i="1" s="1"/>
  <c r="E844" i="1" a="1"/>
  <c r="E844" i="1" s="1"/>
  <c r="E56" i="1" a="1"/>
  <c r="E56" i="1" s="1"/>
  <c r="E335" i="1" a="1"/>
  <c r="E335" i="1" s="1"/>
  <c r="E896" i="1" a="1"/>
  <c r="E896" i="1" s="1"/>
  <c r="E421" i="1" a="1"/>
  <c r="E421" i="1" s="1"/>
  <c r="E262" i="1" a="1"/>
  <c r="E262" i="1" s="1"/>
  <c r="E407" i="1" a="1"/>
  <c r="E407" i="1" s="1"/>
  <c r="E155" i="1" a="1"/>
  <c r="E155" i="1" s="1"/>
  <c r="E1219" i="1" a="1"/>
  <c r="E1219" i="1" s="1"/>
  <c r="E373" i="1" a="1"/>
  <c r="E373" i="1" s="1"/>
  <c r="E444" i="1" a="1"/>
  <c r="E444" i="1" s="1"/>
  <c r="E752" i="1" a="1"/>
  <c r="E752" i="1" s="1"/>
  <c r="E991" i="1" a="1"/>
  <c r="E991" i="1" s="1"/>
  <c r="E245" i="1" a="1"/>
  <c r="E245" i="1" s="1"/>
  <c r="E301" i="1" a="1"/>
  <c r="E301" i="1" s="1"/>
  <c r="E251" i="1" a="1"/>
  <c r="E251" i="1" s="1"/>
  <c r="E898" i="1" a="1"/>
  <c r="E898" i="1" s="1"/>
  <c r="E133" i="1" a="1"/>
  <c r="E133" i="1" s="1"/>
  <c r="E882" i="1" a="1"/>
  <c r="E882" i="1" s="1"/>
  <c r="E215" i="1" a="1"/>
  <c r="E215" i="1" s="1"/>
  <c r="E3" i="1" a="1"/>
  <c r="E3" i="1" s="1"/>
  <c r="E757" i="1" a="1"/>
  <c r="E757" i="1" s="1"/>
  <c r="E48" i="1" a="1"/>
  <c r="E48" i="1" s="1"/>
  <c r="E454" i="1" a="1"/>
  <c r="E454" i="1" s="1"/>
  <c r="E228" i="1" a="1"/>
  <c r="E228" i="1" s="1"/>
  <c r="E1037" i="1" a="1"/>
  <c r="E1037" i="1" s="1"/>
  <c r="E503" i="1" a="1"/>
  <c r="E503" i="1" s="1"/>
  <c r="E445" i="1" a="1"/>
  <c r="E445" i="1" s="1"/>
  <c r="E93" i="1" a="1"/>
  <c r="E93" i="1" s="1"/>
  <c r="E550" i="1" a="1"/>
  <c r="E550" i="1" s="1"/>
  <c r="E939" i="1" a="1"/>
  <c r="E939" i="1" s="1"/>
  <c r="E103" i="1" a="1"/>
  <c r="E103" i="1" s="1"/>
  <c r="E361" i="1" a="1"/>
  <c r="E361" i="1" s="1"/>
  <c r="E531" i="1" a="1"/>
  <c r="E531" i="1" s="1"/>
  <c r="E995" i="1" a="1"/>
  <c r="E995" i="1" s="1"/>
  <c r="E728" i="1" a="1"/>
  <c r="E728" i="1" s="1"/>
  <c r="E686" i="1" a="1"/>
  <c r="E686" i="1" s="1"/>
  <c r="E95" i="1" a="1"/>
  <c r="E95" i="1" s="1"/>
  <c r="E940" i="1" a="1"/>
  <c r="E940" i="1" s="1"/>
  <c r="E755" i="1" a="1"/>
  <c r="E755" i="1" s="1"/>
  <c r="E981" i="1" a="1"/>
  <c r="E981" i="1" s="1"/>
  <c r="E1253" i="1" a="1"/>
  <c r="E1253" i="1" s="1"/>
  <c r="E148" i="1" a="1"/>
  <c r="E148" i="1" s="1"/>
  <c r="E872" i="1" a="1"/>
  <c r="E872" i="1" s="1"/>
  <c r="E9" i="1" a="1"/>
  <c r="E9" i="1" s="1"/>
  <c r="E1273" i="1" a="1"/>
  <c r="E1273" i="1" s="1"/>
  <c r="E712" i="1" a="1"/>
  <c r="E712" i="1" s="1"/>
  <c r="E962" i="1" a="1"/>
  <c r="E962" i="1" s="1"/>
  <c r="E777" i="1" a="1"/>
  <c r="E777" i="1" s="1"/>
  <c r="E362" i="1" a="1"/>
  <c r="E362" i="1" s="1"/>
  <c r="E1115" i="1" a="1"/>
  <c r="E1115" i="1" s="1"/>
  <c r="E438" i="1" a="1"/>
  <c r="E438" i="1" s="1"/>
  <c r="E397" i="1" a="1"/>
  <c r="E397" i="1" s="1"/>
  <c r="E547" i="1" a="1"/>
  <c r="E547" i="1" s="1"/>
  <c r="E964" i="1" a="1"/>
  <c r="E964" i="1" s="1"/>
  <c r="E579" i="1" a="1"/>
  <c r="E579" i="1" s="1"/>
  <c r="E1035" i="1" a="1"/>
  <c r="E1035" i="1" s="1"/>
  <c r="E840" i="1" a="1"/>
  <c r="E840" i="1" s="1"/>
  <c r="E1305" i="1" a="1"/>
  <c r="E1305" i="1" s="1"/>
  <c r="E897" i="1" a="1"/>
  <c r="E897" i="1" s="1"/>
  <c r="E1131" i="1" a="1"/>
  <c r="E1131" i="1" s="1"/>
  <c r="E110" i="1" a="1"/>
  <c r="E110" i="1" s="1"/>
  <c r="E1221" i="1" a="1"/>
  <c r="E1221" i="1" s="1"/>
  <c r="E1368" i="1" a="1"/>
  <c r="E1368" i="1" s="1"/>
  <c r="E500" i="1" a="1"/>
  <c r="E500" i="1" s="1"/>
  <c r="E331" i="1" a="1"/>
  <c r="E331" i="1" s="1"/>
  <c r="E1364" i="1" a="1"/>
  <c r="E1364" i="1" s="1"/>
  <c r="E1362" i="1" a="1"/>
  <c r="E1362" i="1" s="1"/>
  <c r="E68" i="1" a="1"/>
  <c r="E68" i="1" s="1"/>
  <c r="E1152" i="1" a="1"/>
  <c r="E1152" i="1" s="1"/>
  <c r="E1259" i="1" a="1"/>
  <c r="E1259" i="1" s="1"/>
  <c r="E1330" i="1" a="1"/>
  <c r="E1330" i="1" s="1"/>
  <c r="E957" i="1" a="1"/>
  <c r="E957" i="1" s="1"/>
  <c r="F674" i="1" a="1"/>
  <c r="F674" i="1" s="1"/>
  <c r="F1082" i="1" a="1"/>
  <c r="F1082" i="1" s="1"/>
  <c r="F1261" i="1" a="1"/>
  <c r="F1261" i="1" s="1"/>
  <c r="F880" i="1" a="1"/>
  <c r="F880" i="1" s="1"/>
  <c r="F523" i="1" a="1"/>
  <c r="F523" i="1" s="1"/>
  <c r="F665" i="1" a="1"/>
  <c r="F665" i="1" s="1"/>
  <c r="F21" i="1" a="1"/>
  <c r="F21" i="1" s="1"/>
  <c r="F1222" i="1" a="1"/>
  <c r="F1222" i="1" s="1"/>
  <c r="F481" i="1" a="1"/>
  <c r="F481" i="1" s="1"/>
  <c r="F527" i="1" a="1"/>
  <c r="F527" i="1" s="1"/>
  <c r="F564" i="1" a="1"/>
  <c r="F564" i="1" s="1"/>
  <c r="F114" i="1" a="1"/>
  <c r="F114" i="1" s="1"/>
  <c r="F1162" i="1" a="1"/>
  <c r="F1162" i="1" s="1"/>
  <c r="F1299" i="1" a="1"/>
  <c r="F1299" i="1" s="1"/>
  <c r="F91" i="1" a="1"/>
  <c r="F91" i="1" s="1"/>
  <c r="F2" i="1" a="1"/>
  <c r="F2" i="1" s="1"/>
  <c r="F558" i="1" a="1"/>
  <c r="F558" i="1" s="1"/>
  <c r="F399" i="1" a="1"/>
  <c r="F399" i="1" s="1"/>
  <c r="F655" i="1" a="1"/>
  <c r="F655" i="1" s="1"/>
  <c r="F413" i="1" a="1"/>
  <c r="F413" i="1" s="1"/>
  <c r="F1297" i="1" a="1"/>
  <c r="F1297" i="1" s="1"/>
  <c r="F649" i="1" a="1"/>
  <c r="F649" i="1" s="1"/>
  <c r="F137" i="1" a="1"/>
  <c r="F137" i="1" s="1"/>
  <c r="F624" i="1" a="1"/>
  <c r="F624" i="1" s="1"/>
  <c r="F489" i="1" a="1"/>
  <c r="F489" i="1" s="1"/>
  <c r="F759" i="1" a="1"/>
  <c r="F759" i="1" s="1"/>
  <c r="F499" i="1" a="1"/>
  <c r="F499" i="1" s="1"/>
  <c r="F734" i="1" a="1"/>
  <c r="F734" i="1" s="1"/>
  <c r="F556" i="1" a="1"/>
  <c r="F556" i="1" s="1"/>
  <c r="F1166" i="1" a="1"/>
  <c r="F1166" i="1" s="1"/>
  <c r="F1334" i="1" a="1"/>
  <c r="F1334" i="1" s="1"/>
  <c r="F1092" i="1" a="1"/>
  <c r="F1092" i="1" s="1"/>
  <c r="F357" i="1" a="1"/>
  <c r="F357" i="1" s="1"/>
  <c r="F466" i="1" a="1"/>
  <c r="F466" i="1" s="1"/>
  <c r="F1000" i="1" a="1"/>
  <c r="F1000" i="1" s="1"/>
  <c r="F952" i="1" a="1"/>
  <c r="F952" i="1" s="1"/>
  <c r="F265" i="1" a="1"/>
  <c r="F265" i="1" s="1"/>
  <c r="F165" i="1" a="1"/>
  <c r="F165" i="1" s="1"/>
  <c r="F1204" i="1" a="1"/>
  <c r="F1204" i="1" s="1"/>
  <c r="F238" i="1" a="1"/>
  <c r="F238" i="1" s="1"/>
  <c r="F339" i="1" a="1"/>
  <c r="F339" i="1" s="1"/>
  <c r="F526" i="1" a="1"/>
  <c r="F526" i="1" s="1"/>
  <c r="F509" i="1" a="1"/>
  <c r="F509" i="1" s="1"/>
  <c r="F867" i="1" a="1"/>
  <c r="F867" i="1" s="1"/>
  <c r="F246" i="1" a="1"/>
  <c r="F246" i="1" s="1"/>
  <c r="F1074" i="1" a="1"/>
  <c r="F1074" i="1" s="1"/>
  <c r="F1012" i="1" a="1"/>
  <c r="F1012" i="1" s="1"/>
  <c r="F653" i="1" a="1"/>
  <c r="F653" i="1" s="1"/>
  <c r="F1146" i="1" a="1"/>
  <c r="F1146" i="1" s="1"/>
  <c r="F771" i="1" a="1"/>
  <c r="F771" i="1" s="1"/>
  <c r="F601" i="1" a="1"/>
  <c r="F601" i="1" s="1"/>
  <c r="F923" i="1" a="1"/>
  <c r="F923" i="1" s="1"/>
  <c r="F1116" i="1" a="1"/>
  <c r="F1116" i="1" s="1"/>
  <c r="F738" i="1" a="1"/>
  <c r="F738" i="1" s="1"/>
  <c r="F225" i="1" a="1"/>
  <c r="F225" i="1" s="1"/>
  <c r="F685" i="1" a="1"/>
  <c r="F685" i="1" s="1"/>
  <c r="F345" i="1" a="1"/>
  <c r="F345" i="1" s="1"/>
  <c r="F853" i="1" a="1"/>
  <c r="F853" i="1" s="1"/>
  <c r="F871" i="1" a="1"/>
  <c r="F871" i="1" s="1"/>
  <c r="F492" i="1" a="1"/>
  <c r="F492" i="1" s="1"/>
  <c r="F889" i="1" a="1"/>
  <c r="F889" i="1" s="1"/>
  <c r="F679" i="1" a="1"/>
  <c r="F679" i="1" s="1"/>
  <c r="F192" i="1" a="1"/>
  <c r="F192" i="1" s="1"/>
  <c r="F223" i="1" a="1"/>
  <c r="F223" i="1" s="1"/>
  <c r="F735" i="1" a="1"/>
  <c r="F735" i="1" s="1"/>
  <c r="F670" i="1" a="1"/>
  <c r="F670" i="1" s="1"/>
  <c r="F1241" i="1" a="1"/>
  <c r="F1241" i="1" s="1"/>
  <c r="F53" i="1" a="1"/>
  <c r="F53" i="1" s="1"/>
  <c r="F1177" i="1" a="1"/>
  <c r="F1177" i="1" s="1"/>
  <c r="F1329" i="1" a="1"/>
  <c r="F1329" i="1" s="1"/>
  <c r="F595" i="1" a="1"/>
  <c r="F595" i="1" s="1"/>
  <c r="F798" i="1" a="1"/>
  <c r="F798" i="1" s="1"/>
  <c r="F342" i="1" a="1"/>
  <c r="F342" i="1" s="1"/>
  <c r="F129" i="1" a="1"/>
  <c r="F129" i="1" s="1"/>
  <c r="F927" i="1" a="1"/>
  <c r="F927" i="1" s="1"/>
  <c r="F864" i="1" a="1"/>
  <c r="F864" i="1" s="1"/>
  <c r="F296" i="1" a="1"/>
  <c r="F296" i="1" s="1"/>
  <c r="F1365" i="1" a="1"/>
  <c r="F1365" i="1" s="1"/>
  <c r="F196" i="1" a="1"/>
  <c r="F196" i="1" s="1"/>
  <c r="F55" i="1" a="1"/>
  <c r="F55" i="1" s="1"/>
  <c r="F507" i="1" a="1"/>
  <c r="F507" i="1" s="1"/>
  <c r="F276" i="1" a="1"/>
  <c r="F276" i="1" s="1"/>
  <c r="F1133" i="1" a="1"/>
  <c r="F1133" i="1" s="1"/>
  <c r="F854" i="1" a="1"/>
  <c r="F854" i="1" s="1"/>
  <c r="F258" i="1" a="1"/>
  <c r="F258" i="1" s="1"/>
  <c r="F1322" i="1" a="1"/>
  <c r="F1322" i="1" s="1"/>
  <c r="F762" i="1" a="1"/>
  <c r="F762" i="1" s="1"/>
  <c r="F616" i="1" a="1"/>
  <c r="F616" i="1" s="1"/>
  <c r="F98" i="1" a="1"/>
  <c r="F98" i="1" s="1"/>
  <c r="F917" i="1" a="1"/>
  <c r="F917" i="1" s="1"/>
  <c r="F214" i="1" a="1"/>
  <c r="F214" i="1" s="1"/>
  <c r="F1307" i="1" a="1"/>
  <c r="F1307" i="1" s="1"/>
  <c r="F1278" i="1" a="1"/>
  <c r="F1278" i="1" s="1"/>
  <c r="F181" i="1" a="1"/>
  <c r="F181" i="1" s="1"/>
  <c r="F1168" i="1" a="1"/>
  <c r="F1168" i="1" s="1"/>
  <c r="F1367" i="1" a="1"/>
  <c r="F1367" i="1" s="1"/>
  <c r="F123" i="1" a="1"/>
  <c r="F123" i="1" s="1"/>
  <c r="F475" i="1" a="1"/>
  <c r="F475" i="1" s="1"/>
  <c r="F716" i="1" a="1"/>
  <c r="F716" i="1" s="1"/>
  <c r="F808" i="1" a="1"/>
  <c r="F808" i="1" s="1"/>
  <c r="F1301" i="1" a="1"/>
  <c r="F1301" i="1" s="1"/>
  <c r="F1209" i="1" a="1"/>
  <c r="F1209" i="1" s="1"/>
  <c r="F851" i="1" a="1"/>
  <c r="F851" i="1" s="1"/>
  <c r="F900" i="1" a="1"/>
  <c r="F900" i="1" s="1"/>
  <c r="F257" i="1" a="1"/>
  <c r="F257" i="1" s="1"/>
  <c r="F458" i="1" a="1"/>
  <c r="F458" i="1" s="1"/>
  <c r="F732" i="1" a="1"/>
  <c r="F732" i="1" s="1"/>
  <c r="F163" i="1" a="1"/>
  <c r="F163" i="1" s="1"/>
  <c r="F232" i="1" a="1"/>
  <c r="F232" i="1" s="1"/>
  <c r="F552" i="1" a="1"/>
  <c r="F552" i="1" s="1"/>
  <c r="F386" i="1" a="1"/>
  <c r="F386" i="1" s="1"/>
  <c r="F1004" i="1" a="1"/>
  <c r="F1004" i="1" s="1"/>
  <c r="F836" i="1" a="1"/>
  <c r="F836" i="1" s="1"/>
  <c r="F999" i="1" a="1"/>
  <c r="F999" i="1" s="1"/>
  <c r="F427" i="1" a="1"/>
  <c r="F427" i="1" s="1"/>
  <c r="F323" i="1" a="1"/>
  <c r="F323" i="1" s="1"/>
  <c r="F78" i="1" a="1"/>
  <c r="F78" i="1" s="1"/>
  <c r="F200" i="1" a="1"/>
  <c r="F200" i="1" s="1"/>
  <c r="F1174" i="1" a="1"/>
  <c r="F1174" i="1" s="1"/>
  <c r="F1282" i="1" a="1"/>
  <c r="F1282" i="1" s="1"/>
  <c r="F925" i="1" a="1"/>
  <c r="F925" i="1" s="1"/>
  <c r="F75" i="1" a="1"/>
  <c r="F75" i="1" s="1"/>
  <c r="F132" i="1" a="1"/>
  <c r="F132" i="1" s="1"/>
  <c r="F1257" i="1" a="1"/>
  <c r="F1257" i="1" s="1"/>
  <c r="F987" i="1" a="1"/>
  <c r="F987" i="1" s="1"/>
  <c r="F483" i="1" a="1"/>
  <c r="F483" i="1" s="1"/>
  <c r="F260" i="1" a="1"/>
  <c r="F260" i="1" s="1"/>
  <c r="F726" i="1" a="1"/>
  <c r="F726" i="1" s="1"/>
  <c r="F10" i="1" a="1"/>
  <c r="F10" i="1" s="1"/>
  <c r="F419" i="1" a="1"/>
  <c r="F419" i="1" s="1"/>
  <c r="F1054" i="1" a="1"/>
  <c r="F1054" i="1" s="1"/>
  <c r="F131" i="1" a="1"/>
  <c r="F131" i="1" s="1"/>
  <c r="F878" i="1" a="1"/>
  <c r="F878" i="1" s="1"/>
  <c r="F1337" i="1" a="1"/>
  <c r="F1337" i="1" s="1"/>
  <c r="F1245" i="1" a="1"/>
  <c r="F1245" i="1" s="1"/>
  <c r="F327" i="1" a="1"/>
  <c r="F327" i="1" s="1"/>
  <c r="F609" i="1" a="1"/>
  <c r="F609" i="1" s="1"/>
  <c r="F861" i="1" a="1"/>
  <c r="F861" i="1" s="1"/>
  <c r="F622" i="1" a="1"/>
  <c r="F622" i="1" s="1"/>
  <c r="F431" i="1" a="1"/>
  <c r="F431" i="1" s="1"/>
  <c r="F1127" i="1" a="1"/>
  <c r="F1127" i="1" s="1"/>
  <c r="F1099" i="1" a="1"/>
  <c r="F1099" i="1" s="1"/>
  <c r="F560" i="1" a="1"/>
  <c r="F560" i="1" s="1"/>
  <c r="F1243" i="1" a="1"/>
  <c r="F1243" i="1" s="1"/>
  <c r="F786" i="1" a="1"/>
  <c r="F786" i="1" s="1"/>
  <c r="F244" i="1" a="1"/>
  <c r="F244" i="1" s="1"/>
  <c r="F892" i="1" a="1"/>
  <c r="F892" i="1" s="1"/>
  <c r="F972" i="1" a="1"/>
  <c r="F972" i="1" s="1"/>
  <c r="F1270" i="1" a="1"/>
  <c r="F1270" i="1" s="1"/>
  <c r="F20" i="1" a="1"/>
  <c r="F20" i="1" s="1"/>
  <c r="F810" i="1" a="1"/>
  <c r="F810" i="1" s="1"/>
  <c r="F506" i="1" a="1"/>
  <c r="F506" i="1" s="1"/>
  <c r="F198" i="1" a="1"/>
  <c r="F198" i="1" s="1"/>
  <c r="F1005" i="1" a="1"/>
  <c r="F1005" i="1" s="1"/>
  <c r="F213" i="1" a="1"/>
  <c r="F213" i="1" s="1"/>
  <c r="F253" i="1" a="1"/>
  <c r="F253" i="1" s="1"/>
  <c r="F845" i="1" a="1"/>
  <c r="F845" i="1" s="1"/>
  <c r="F620" i="1" a="1"/>
  <c r="F620" i="1" s="1"/>
  <c r="F915" i="1" a="1"/>
  <c r="F915" i="1" s="1"/>
  <c r="F890" i="1" a="1"/>
  <c r="F890" i="1" s="1"/>
  <c r="F249" i="1" a="1"/>
  <c r="F249" i="1" s="1"/>
  <c r="F644" i="1" a="1"/>
  <c r="F644" i="1" s="1"/>
  <c r="F311" i="1" a="1"/>
  <c r="F311" i="1" s="1"/>
  <c r="F1202" i="1" a="1"/>
  <c r="F1202" i="1" s="1"/>
  <c r="F1302" i="1" a="1"/>
  <c r="F1302" i="1" s="1"/>
  <c r="F835" i="1" a="1"/>
  <c r="F835" i="1" s="1"/>
  <c r="F643" i="1" a="1"/>
  <c r="F643" i="1" s="1"/>
  <c r="F730" i="1" a="1"/>
  <c r="F730" i="1" s="1"/>
  <c r="F347" i="1" a="1"/>
  <c r="F347" i="1" s="1"/>
  <c r="F65" i="1" a="1"/>
  <c r="F65" i="1" s="1"/>
  <c r="F337" i="1" a="1"/>
  <c r="F337" i="1" s="1"/>
  <c r="F1363" i="1" a="1"/>
  <c r="F1363" i="1" s="1"/>
  <c r="F1195" i="1" a="1"/>
  <c r="F1195" i="1" s="1"/>
  <c r="F723" i="1" a="1"/>
  <c r="F723" i="1" s="1"/>
  <c r="F1262" i="1" a="1"/>
  <c r="F1262" i="1" s="1"/>
  <c r="F332" i="1" a="1"/>
  <c r="F332" i="1" s="1"/>
  <c r="F652" i="1" a="1"/>
  <c r="F652" i="1" s="1"/>
  <c r="F961" i="1" a="1"/>
  <c r="F961" i="1" s="1"/>
  <c r="F912" i="1" a="1"/>
  <c r="F912" i="1" s="1"/>
  <c r="F1220" i="1" a="1"/>
  <c r="F1220" i="1" s="1"/>
  <c r="F621" i="1" a="1"/>
  <c r="F621" i="1" s="1"/>
  <c r="F822" i="1" a="1"/>
  <c r="F822" i="1" s="1"/>
  <c r="F538" i="1" a="1"/>
  <c r="F538" i="1" s="1"/>
  <c r="F590" i="1" a="1"/>
  <c r="F590" i="1" s="1"/>
  <c r="F22" i="1" a="1"/>
  <c r="F22" i="1" s="1"/>
  <c r="F1138" i="1" a="1"/>
  <c r="F1138" i="1" s="1"/>
  <c r="F1266" i="1" a="1"/>
  <c r="F1266" i="1" s="1"/>
  <c r="F1260" i="1" a="1"/>
  <c r="F1260" i="1" s="1"/>
  <c r="F684" i="1" a="1"/>
  <c r="F684" i="1" s="1"/>
  <c r="F1188" i="1" a="1"/>
  <c r="F1188" i="1" s="1"/>
  <c r="F51" i="1" a="1"/>
  <c r="F51" i="1" s="1"/>
  <c r="F236" i="1" a="1"/>
  <c r="F236" i="1" s="1"/>
  <c r="F408" i="1" a="1"/>
  <c r="F408" i="1" s="1"/>
  <c r="F683" i="1" a="1"/>
  <c r="F683" i="1" s="1"/>
  <c r="F881" i="1" a="1"/>
  <c r="F881" i="1" s="1"/>
  <c r="F44" i="1" a="1"/>
  <c r="F44" i="1" s="1"/>
  <c r="F437" i="1" a="1"/>
  <c r="F437" i="1" s="1"/>
  <c r="F473" i="1" a="1"/>
  <c r="F473" i="1" s="1"/>
  <c r="F765" i="1" a="1"/>
  <c r="F765" i="1" s="1"/>
  <c r="F1085" i="1" a="1"/>
  <c r="F1085" i="1" s="1"/>
  <c r="F993" i="1" a="1"/>
  <c r="F993" i="1" s="1"/>
  <c r="F1291" i="1" a="1"/>
  <c r="F1291" i="1" s="1"/>
  <c r="F440" i="1" a="1"/>
  <c r="F440" i="1" s="1"/>
  <c r="F645" i="1" a="1"/>
  <c r="F645" i="1" s="1"/>
  <c r="F405" i="1" a="1"/>
  <c r="F405" i="1" s="1"/>
  <c r="F1065" i="1" a="1"/>
  <c r="F1065" i="1" s="1"/>
  <c r="F118" i="1" a="1"/>
  <c r="F118" i="1" s="1"/>
  <c r="F1192" i="1" a="1"/>
  <c r="F1192" i="1" s="1"/>
  <c r="F613" i="1" a="1"/>
  <c r="F613" i="1" s="1"/>
  <c r="F29" i="1" a="1"/>
  <c r="F29" i="1" s="1"/>
  <c r="F433" i="1" a="1"/>
  <c r="F433" i="1" s="1"/>
  <c r="F1246" i="1" a="1"/>
  <c r="F1246" i="1" s="1"/>
  <c r="F596" i="1" a="1"/>
  <c r="F596" i="1" s="1"/>
  <c r="F122" i="1" a="1"/>
  <c r="F122" i="1" s="1"/>
  <c r="F28" i="1" a="1"/>
  <c r="F28" i="1" s="1"/>
  <c r="F1129" i="1" a="1"/>
  <c r="F1129" i="1" s="1"/>
  <c r="F817" i="1" a="1"/>
  <c r="F817" i="1" s="1"/>
  <c r="F27" i="1" a="1"/>
  <c r="F27" i="1" s="1"/>
  <c r="F487" i="1" a="1"/>
  <c r="F487" i="1" s="1"/>
  <c r="F844" i="1" a="1"/>
  <c r="F844" i="1" s="1"/>
  <c r="F56" i="1" a="1"/>
  <c r="F56" i="1" s="1"/>
  <c r="F335" i="1" a="1"/>
  <c r="F335" i="1" s="1"/>
  <c r="F896" i="1" a="1"/>
  <c r="F896" i="1" s="1"/>
  <c r="F421" i="1" a="1"/>
  <c r="F421" i="1" s="1"/>
  <c r="F262" i="1" a="1"/>
  <c r="F262" i="1" s="1"/>
  <c r="F407" i="1" a="1"/>
  <c r="F407" i="1" s="1"/>
  <c r="F155" i="1" a="1"/>
  <c r="F155" i="1" s="1"/>
  <c r="F1219" i="1" a="1"/>
  <c r="F1219" i="1" s="1"/>
  <c r="F373" i="1" a="1"/>
  <c r="F373" i="1" s="1"/>
  <c r="F444" i="1" a="1"/>
  <c r="F444" i="1" s="1"/>
  <c r="F752" i="1" a="1"/>
  <c r="F752" i="1" s="1"/>
  <c r="F991" i="1" a="1"/>
  <c r="F991" i="1" s="1"/>
  <c r="F245" i="1" a="1"/>
  <c r="F245" i="1" s="1"/>
  <c r="F301" i="1" a="1"/>
  <c r="F301" i="1" s="1"/>
  <c r="F251" i="1" a="1"/>
  <c r="F251" i="1" s="1"/>
  <c r="F898" i="1" a="1"/>
  <c r="F898" i="1" s="1"/>
  <c r="F133" i="1" a="1"/>
  <c r="F133" i="1" s="1"/>
  <c r="F882" i="1" a="1"/>
  <c r="F882" i="1" s="1"/>
  <c r="F215" i="1" a="1"/>
  <c r="F215" i="1" s="1"/>
  <c r="F3" i="1" a="1"/>
  <c r="F3" i="1" s="1"/>
  <c r="F757" i="1" a="1"/>
  <c r="F757" i="1" s="1"/>
  <c r="F48" i="1" a="1"/>
  <c r="F48" i="1" s="1"/>
  <c r="F454" i="1" a="1"/>
  <c r="F454" i="1" s="1"/>
  <c r="F228" i="1" a="1"/>
  <c r="F228" i="1" s="1"/>
  <c r="F1037" i="1" a="1"/>
  <c r="F1037" i="1" s="1"/>
  <c r="F503" i="1" a="1"/>
  <c r="F503" i="1" s="1"/>
  <c r="F445" i="1" a="1"/>
  <c r="F445" i="1" s="1"/>
  <c r="F93" i="1" a="1"/>
  <c r="F93" i="1" s="1"/>
  <c r="F550" i="1" a="1"/>
  <c r="F550" i="1" s="1"/>
  <c r="F939" i="1" a="1"/>
  <c r="F939" i="1" s="1"/>
  <c r="F103" i="1" a="1"/>
  <c r="F103" i="1" s="1"/>
  <c r="F361" i="1" a="1"/>
  <c r="F361" i="1" s="1"/>
  <c r="F531" i="1" a="1"/>
  <c r="F531" i="1" s="1"/>
  <c r="F995" i="1" a="1"/>
  <c r="F995" i="1" s="1"/>
  <c r="F728" i="1" a="1"/>
  <c r="F728" i="1" s="1"/>
  <c r="F686" i="1" a="1"/>
  <c r="F686" i="1" s="1"/>
  <c r="F95" i="1" a="1"/>
  <c r="F95" i="1" s="1"/>
  <c r="F940" i="1" a="1"/>
  <c r="F940" i="1" s="1"/>
  <c r="F755" i="1" a="1"/>
  <c r="F755" i="1" s="1"/>
  <c r="F981" i="1" a="1"/>
  <c r="F981" i="1" s="1"/>
  <c r="F1253" i="1" a="1"/>
  <c r="F1253" i="1" s="1"/>
  <c r="F148" i="1" a="1"/>
  <c r="F148" i="1" s="1"/>
  <c r="F872" i="1" a="1"/>
  <c r="F872" i="1" s="1"/>
  <c r="F9" i="1" a="1"/>
  <c r="F9" i="1" s="1"/>
  <c r="F1273" i="1" a="1"/>
  <c r="F1273" i="1" s="1"/>
  <c r="F712" i="1" a="1"/>
  <c r="F712" i="1" s="1"/>
  <c r="F962" i="1" a="1"/>
  <c r="F962" i="1" s="1"/>
  <c r="F777" i="1" a="1"/>
  <c r="F777" i="1" s="1"/>
  <c r="F362" i="1" a="1"/>
  <c r="F362" i="1" s="1"/>
  <c r="F1115" i="1" a="1"/>
  <c r="F1115" i="1" s="1"/>
  <c r="F438" i="1" a="1"/>
  <c r="F438" i="1" s="1"/>
  <c r="F397" i="1" a="1"/>
  <c r="F397" i="1" s="1"/>
  <c r="F547" i="1" a="1"/>
  <c r="F547" i="1" s="1"/>
  <c r="F964" i="1" a="1"/>
  <c r="F964" i="1" s="1"/>
  <c r="F579" i="1" a="1"/>
  <c r="F579" i="1" s="1"/>
  <c r="F1035" i="1" a="1"/>
  <c r="F1035" i="1" s="1"/>
  <c r="F840" i="1" a="1"/>
  <c r="F840" i="1" s="1"/>
  <c r="F1305" i="1" a="1"/>
  <c r="F1305" i="1" s="1"/>
  <c r="F897" i="1" a="1"/>
  <c r="F897" i="1" s="1"/>
  <c r="F1131" i="1" a="1"/>
  <c r="F1131" i="1" s="1"/>
  <c r="F110" i="1" a="1"/>
  <c r="F110" i="1" s="1"/>
  <c r="F1221" i="1" a="1"/>
  <c r="F1221" i="1" s="1"/>
  <c r="F1368" i="1" a="1"/>
  <c r="F1368" i="1" s="1"/>
  <c r="F500" i="1" a="1"/>
  <c r="F500" i="1" s="1"/>
  <c r="F331" i="1" a="1"/>
  <c r="F331" i="1" s="1"/>
  <c r="F1364" i="1" a="1"/>
  <c r="F1364" i="1" s="1"/>
  <c r="F1362" i="1" a="1"/>
  <c r="F1362" i="1" s="1"/>
  <c r="F68" i="1" a="1"/>
  <c r="F68" i="1" s="1"/>
  <c r="F1152" i="1" a="1"/>
  <c r="F1152" i="1" s="1"/>
  <c r="F1259" i="1" a="1"/>
  <c r="F1259" i="1" s="1"/>
  <c r="F1330" i="1" a="1"/>
  <c r="F1330" i="1" s="1"/>
  <c r="F957" i="1" a="1"/>
  <c r="F957" i="1" s="1"/>
  <c r="F346" i="6"/>
  <c r="F347" i="6"/>
  <c r="G347" i="6" s="1" a="1"/>
  <c r="G347" i="6" s="1"/>
  <c r="F348" i="6"/>
  <c r="F349" i="6"/>
  <c r="F350" i="6"/>
  <c r="G350" i="6" s="1" a="1"/>
  <c r="G350" i="6" s="1"/>
  <c r="F351" i="6"/>
  <c r="G346" i="6" a="1"/>
  <c r="G346" i="6" s="1"/>
  <c r="G348" i="6" a="1"/>
  <c r="G348" i="6" s="1"/>
  <c r="I348" i="6" s="1" a="1"/>
  <c r="I348" i="6" s="1"/>
  <c r="G349" i="6" a="1"/>
  <c r="G349" i="6" s="1"/>
  <c r="G351" i="6" a="1"/>
  <c r="G351" i="6" s="1"/>
  <c r="H346" i="6"/>
  <c r="H347" i="6"/>
  <c r="H348" i="6"/>
  <c r="H349" i="6"/>
  <c r="H350" i="6"/>
  <c r="H351" i="6"/>
  <c r="F345" i="6"/>
  <c r="G345" i="6" s="1" a="1"/>
  <c r="G345" i="6" s="1"/>
  <c r="I345" i="6" s="1" a="1"/>
  <c r="I345" i="6" s="1"/>
  <c r="H345" i="6"/>
  <c r="F342" i="6"/>
  <c r="G342" i="6" s="1" a="1"/>
  <c r="G342" i="6" s="1"/>
  <c r="F343" i="6"/>
  <c r="G343" i="6" s="1" a="1"/>
  <c r="G343" i="6" s="1"/>
  <c r="F344" i="6"/>
  <c r="G344" i="6" s="1" a="1"/>
  <c r="G344" i="6" s="1"/>
  <c r="H342" i="6"/>
  <c r="H343" i="6"/>
  <c r="H344" i="6"/>
  <c r="F335" i="6"/>
  <c r="G335" i="6" s="1" a="1"/>
  <c r="G335" i="6" s="1"/>
  <c r="F336" i="6"/>
  <c r="G336" i="6" s="1" a="1"/>
  <c r="G336" i="6" s="1"/>
  <c r="F337" i="6"/>
  <c r="G337" i="6" s="1" a="1"/>
  <c r="G337" i="6" s="1"/>
  <c r="F338" i="6"/>
  <c r="G338" i="6" s="1" a="1"/>
  <c r="G338" i="6" s="1"/>
  <c r="F339" i="6"/>
  <c r="G339" i="6" s="1" a="1"/>
  <c r="G339" i="6" s="1"/>
  <c r="F340" i="6"/>
  <c r="G340" i="6" s="1" a="1"/>
  <c r="G340" i="6" s="1"/>
  <c r="F341" i="6"/>
  <c r="G341" i="6" s="1" a="1"/>
  <c r="G341" i="6" s="1"/>
  <c r="H335" i="6"/>
  <c r="H336" i="6"/>
  <c r="H337" i="6"/>
  <c r="H338" i="6"/>
  <c r="H339" i="6"/>
  <c r="H340" i="6"/>
  <c r="H341" i="6"/>
  <c r="F329" i="6"/>
  <c r="G329" i="6" s="1" a="1"/>
  <c r="G329" i="6" s="1"/>
  <c r="F330" i="6"/>
  <c r="G330" i="6" s="1" a="1"/>
  <c r="G330" i="6" s="1"/>
  <c r="F331" i="6"/>
  <c r="G331" i="6" s="1" a="1"/>
  <c r="G331" i="6" s="1"/>
  <c r="F332" i="6"/>
  <c r="G332" i="6" s="1" a="1"/>
  <c r="G332" i="6" s="1"/>
  <c r="F333" i="6"/>
  <c r="G333" i="6" s="1" a="1"/>
  <c r="G333" i="6" s="1"/>
  <c r="F334" i="6"/>
  <c r="G334" i="6" s="1" a="1"/>
  <c r="G334" i="6" s="1"/>
  <c r="H329" i="6"/>
  <c r="H330" i="6"/>
  <c r="H331" i="6"/>
  <c r="H332" i="6"/>
  <c r="H333" i="6"/>
  <c r="H334" i="6"/>
  <c r="F328" i="6"/>
  <c r="G328" i="6" s="1" a="1"/>
  <c r="G328" i="6" s="1"/>
  <c r="H328" i="6"/>
  <c r="F322" i="6"/>
  <c r="G322" i="6" s="1" a="1"/>
  <c r="G322" i="6" s="1"/>
  <c r="F323" i="6"/>
  <c r="G323" i="6" s="1" a="1"/>
  <c r="G323" i="6" s="1"/>
  <c r="F324" i="6"/>
  <c r="G324" i="6" s="1" a="1"/>
  <c r="G324" i="6" s="1"/>
  <c r="F325" i="6"/>
  <c r="G325" i="6" s="1" a="1"/>
  <c r="G325" i="6" s="1"/>
  <c r="F326" i="6"/>
  <c r="G326" i="6" s="1" a="1"/>
  <c r="G326" i="6" s="1"/>
  <c r="F327" i="6"/>
  <c r="G327" i="6" s="1" a="1"/>
  <c r="G327" i="6" s="1"/>
  <c r="H322" i="6"/>
  <c r="H323" i="6"/>
  <c r="H324" i="6"/>
  <c r="H325" i="6"/>
  <c r="H326" i="6"/>
  <c r="H327" i="6"/>
  <c r="F319" i="6"/>
  <c r="G319" i="6" s="1" a="1"/>
  <c r="G319" i="6" s="1"/>
  <c r="F320" i="6"/>
  <c r="G320" i="6" s="1" a="1"/>
  <c r="G320" i="6" s="1"/>
  <c r="F321" i="6"/>
  <c r="G321" i="6" s="1" a="1"/>
  <c r="G321" i="6" s="1"/>
  <c r="H319" i="6"/>
  <c r="H320" i="6"/>
  <c r="H321" i="6"/>
  <c r="F312" i="6"/>
  <c r="G312" i="6" s="1" a="1"/>
  <c r="G312" i="6" s="1"/>
  <c r="F313" i="6"/>
  <c r="G313" i="6" s="1" a="1"/>
  <c r="G313" i="6" s="1"/>
  <c r="F314" i="6"/>
  <c r="G314" i="6" s="1" a="1"/>
  <c r="G314" i="6" s="1"/>
  <c r="F315" i="6"/>
  <c r="G315" i="6" s="1" a="1"/>
  <c r="G315" i="6" s="1"/>
  <c r="F316" i="6"/>
  <c r="G316" i="6" s="1" a="1"/>
  <c r="G316" i="6" s="1"/>
  <c r="F317" i="6"/>
  <c r="G317" i="6" s="1" a="1"/>
  <c r="G317" i="6" s="1"/>
  <c r="F318" i="6"/>
  <c r="G318" i="6" s="1" a="1"/>
  <c r="G318" i="6" s="1"/>
  <c r="H312" i="6"/>
  <c r="H313" i="6"/>
  <c r="H314" i="6"/>
  <c r="H315" i="6"/>
  <c r="H316" i="6"/>
  <c r="H317" i="6"/>
  <c r="H318" i="6"/>
  <c r="F305" i="6"/>
  <c r="G305" i="6" s="1" a="1"/>
  <c r="G305" i="6" s="1"/>
  <c r="F306" i="6"/>
  <c r="G306" i="6" s="1" a="1"/>
  <c r="G306" i="6" s="1"/>
  <c r="F307" i="6"/>
  <c r="G307" i="6" s="1" a="1"/>
  <c r="G307" i="6" s="1"/>
  <c r="F308" i="6"/>
  <c r="G308" i="6" s="1" a="1"/>
  <c r="G308" i="6" s="1"/>
  <c r="F309" i="6"/>
  <c r="G309" i="6" s="1" a="1"/>
  <c r="G309" i="6" s="1"/>
  <c r="F310" i="6"/>
  <c r="G310" i="6" s="1" a="1"/>
  <c r="G310" i="6" s="1"/>
  <c r="F311" i="6"/>
  <c r="G311" i="6" s="1" a="1"/>
  <c r="G311" i="6" s="1"/>
  <c r="H305" i="6"/>
  <c r="H306" i="6"/>
  <c r="H307" i="6"/>
  <c r="H308" i="6"/>
  <c r="H309" i="6"/>
  <c r="H310" i="6"/>
  <c r="H311" i="6"/>
  <c r="F298" i="6"/>
  <c r="G298" i="6" s="1" a="1"/>
  <c r="G298" i="6" s="1"/>
  <c r="F299" i="6"/>
  <c r="G299" i="6" s="1" a="1"/>
  <c r="G299" i="6" s="1"/>
  <c r="F300" i="6"/>
  <c r="G300" i="6" s="1" a="1"/>
  <c r="G300" i="6" s="1"/>
  <c r="F301" i="6"/>
  <c r="G301" i="6" s="1" a="1"/>
  <c r="G301" i="6" s="1"/>
  <c r="F302" i="6"/>
  <c r="G302" i="6" s="1" a="1"/>
  <c r="G302" i="6" s="1"/>
  <c r="F303" i="6"/>
  <c r="G303" i="6" s="1" a="1"/>
  <c r="G303" i="6" s="1"/>
  <c r="F304" i="6"/>
  <c r="G304" i="6" s="1" a="1"/>
  <c r="G304" i="6" s="1"/>
  <c r="H298" i="6"/>
  <c r="H299" i="6"/>
  <c r="H300" i="6"/>
  <c r="H301" i="6"/>
  <c r="H302" i="6"/>
  <c r="H303" i="6"/>
  <c r="H304" i="6"/>
  <c r="F292" i="6"/>
  <c r="G292" i="6" s="1" a="1"/>
  <c r="G292" i="6" s="1"/>
  <c r="F293" i="6"/>
  <c r="G293" i="6" s="1" a="1"/>
  <c r="G293" i="6" s="1"/>
  <c r="F294" i="6"/>
  <c r="G294" i="6" s="1" a="1"/>
  <c r="G294" i="6" s="1"/>
  <c r="F295" i="6"/>
  <c r="G295" i="6" s="1" a="1"/>
  <c r="G295" i="6" s="1"/>
  <c r="F296" i="6"/>
  <c r="G296" i="6" s="1" a="1"/>
  <c r="G296" i="6" s="1"/>
  <c r="F297" i="6"/>
  <c r="G297" i="6" s="1" a="1"/>
  <c r="G297" i="6" s="1"/>
  <c r="H292" i="6"/>
  <c r="H293" i="6"/>
  <c r="H294" i="6"/>
  <c r="H295" i="6"/>
  <c r="H296" i="6"/>
  <c r="H297" i="6"/>
  <c r="F291" i="6"/>
  <c r="G291" i="6" s="1" a="1"/>
  <c r="G291" i="6" s="1"/>
  <c r="H291" i="6"/>
  <c r="F284" i="6"/>
  <c r="G284" i="6" s="1" a="1"/>
  <c r="G284" i="6" s="1"/>
  <c r="F285" i="6"/>
  <c r="G285" i="6" s="1" a="1"/>
  <c r="G285" i="6" s="1"/>
  <c r="F286" i="6"/>
  <c r="G286" i="6" s="1" a="1"/>
  <c r="G286" i="6" s="1"/>
  <c r="F287" i="6"/>
  <c r="G287" i="6" s="1" a="1"/>
  <c r="G287" i="6" s="1"/>
  <c r="F288" i="6"/>
  <c r="G288" i="6" s="1" a="1"/>
  <c r="G288" i="6" s="1"/>
  <c r="F289" i="6"/>
  <c r="G289" i="6" s="1" a="1"/>
  <c r="G289" i="6" s="1"/>
  <c r="F290" i="6"/>
  <c r="G290" i="6" s="1" a="1"/>
  <c r="G290" i="6" s="1"/>
  <c r="H284" i="6"/>
  <c r="H285" i="6"/>
  <c r="H286" i="6"/>
  <c r="H287" i="6"/>
  <c r="H288" i="6"/>
  <c r="H289" i="6"/>
  <c r="H290" i="6"/>
  <c r="F283" i="6"/>
  <c r="G283" i="6" s="1" a="1"/>
  <c r="G283" i="6" s="1"/>
  <c r="H283" i="6"/>
  <c r="F278" i="6"/>
  <c r="G278" i="6" s="1" a="1"/>
  <c r="G278" i="6" s="1"/>
  <c r="F279" i="6"/>
  <c r="G279" i="6" s="1" a="1"/>
  <c r="G279" i="6" s="1"/>
  <c r="F280" i="6"/>
  <c r="G280" i="6" s="1" a="1"/>
  <c r="G280" i="6" s="1"/>
  <c r="F281" i="6"/>
  <c r="G281" i="6" s="1" a="1"/>
  <c r="G281" i="6" s="1"/>
  <c r="F282" i="6"/>
  <c r="G282" i="6" s="1" a="1"/>
  <c r="G282" i="6" s="1"/>
  <c r="H278" i="6"/>
  <c r="H279" i="6"/>
  <c r="H280" i="6"/>
  <c r="H281" i="6"/>
  <c r="H282" i="6"/>
  <c r="F277" i="6"/>
  <c r="G277" i="6" s="1" a="1"/>
  <c r="G277" i="6" s="1"/>
  <c r="H277" i="6"/>
  <c r="F2" i="6"/>
  <c r="G2" i="6" s="1" a="1"/>
  <c r="G2" i="6" s="1"/>
  <c r="F3" i="6"/>
  <c r="G3" i="6" s="1" a="1"/>
  <c r="G3" i="6" s="1"/>
  <c r="F4" i="6"/>
  <c r="G4" i="6" s="1" a="1"/>
  <c r="G4" i="6" s="1"/>
  <c r="F262" i="6"/>
  <c r="G262" i="6" s="1" a="1"/>
  <c r="G262" i="6" s="1"/>
  <c r="F268" i="6"/>
  <c r="G268" i="6" s="1" a="1"/>
  <c r="G268" i="6" s="1"/>
  <c r="F270" i="6"/>
  <c r="G270" i="6" s="1" a="1"/>
  <c r="G270" i="6" s="1"/>
  <c r="F8" i="6"/>
  <c r="G8" i="6" s="1" a="1"/>
  <c r="G8" i="6" s="1"/>
  <c r="F9" i="6"/>
  <c r="G9" i="6" s="1" a="1"/>
  <c r="G9" i="6" s="1"/>
  <c r="F10" i="6"/>
  <c r="G10" i="6" s="1" a="1"/>
  <c r="G10" i="6" s="1"/>
  <c r="F11" i="6"/>
  <c r="G11" i="6" s="1" a="1"/>
  <c r="G11" i="6" s="1"/>
  <c r="F12" i="6"/>
  <c r="G12" i="6" s="1" a="1"/>
  <c r="G12" i="6" s="1"/>
  <c r="F13" i="6"/>
  <c r="G13" i="6" s="1" a="1"/>
  <c r="G13" i="6" s="1"/>
  <c r="F14" i="6"/>
  <c r="G14" i="6" s="1" a="1"/>
  <c r="G14" i="6" s="1"/>
  <c r="F15" i="6"/>
  <c r="G15" i="6" s="1" a="1"/>
  <c r="G15" i="6" s="1"/>
  <c r="F16" i="6"/>
  <c r="G16" i="6" s="1" a="1"/>
  <c r="G16" i="6" s="1"/>
  <c r="F17" i="6"/>
  <c r="G17" i="6" s="1" a="1"/>
  <c r="G17" i="6" s="1"/>
  <c r="F18" i="6"/>
  <c r="G18" i="6" s="1" a="1"/>
  <c r="G18" i="6" s="1"/>
  <c r="F19" i="6"/>
  <c r="G19" i="6" s="1" a="1"/>
  <c r="G19" i="6" s="1"/>
  <c r="F20" i="6"/>
  <c r="G20" i="6" s="1" a="1"/>
  <c r="G20" i="6" s="1"/>
  <c r="F21" i="6"/>
  <c r="G21" i="6" s="1" a="1"/>
  <c r="G21" i="6" s="1"/>
  <c r="F22" i="6"/>
  <c r="F23" i="6"/>
  <c r="G23" i="6" s="1" a="1"/>
  <c r="G23" i="6" s="1"/>
  <c r="F24" i="6"/>
  <c r="G24" i="6" s="1" a="1"/>
  <c r="G24" i="6" s="1"/>
  <c r="F25" i="6"/>
  <c r="G25" i="6" s="1" a="1"/>
  <c r="G25" i="6" s="1"/>
  <c r="F26" i="6"/>
  <c r="G26" i="6" s="1" a="1"/>
  <c r="G26" i="6" s="1"/>
  <c r="F27" i="6"/>
  <c r="G27" i="6" s="1" a="1"/>
  <c r="G27" i="6" s="1"/>
  <c r="F28" i="6"/>
  <c r="G28" i="6" s="1" a="1"/>
  <c r="G28" i="6" s="1"/>
  <c r="F29" i="6"/>
  <c r="G29" i="6" s="1" a="1"/>
  <c r="G29" i="6" s="1"/>
  <c r="F30" i="6"/>
  <c r="G30" i="6" s="1" a="1"/>
  <c r="G30" i="6" s="1"/>
  <c r="F31" i="6"/>
  <c r="G31" i="6" s="1" a="1"/>
  <c r="G31" i="6" s="1"/>
  <c r="F32" i="6"/>
  <c r="G32" i="6" s="1" a="1"/>
  <c r="G32" i="6" s="1"/>
  <c r="F33" i="6"/>
  <c r="G33" i="6" s="1" a="1"/>
  <c r="G33" i="6" s="1"/>
  <c r="F34" i="6"/>
  <c r="G34" i="6" s="1" a="1"/>
  <c r="G34" i="6" s="1"/>
  <c r="F35" i="6"/>
  <c r="G35" i="6" s="1" a="1"/>
  <c r="G35" i="6" s="1"/>
  <c r="F36" i="6"/>
  <c r="G36" i="6" s="1" a="1"/>
  <c r="G36" i="6" s="1"/>
  <c r="F37" i="6"/>
  <c r="G37" i="6" s="1" a="1"/>
  <c r="G37" i="6" s="1"/>
  <c r="F38" i="6"/>
  <c r="G38" i="6" s="1" a="1"/>
  <c r="G38" i="6" s="1"/>
  <c r="F39" i="6"/>
  <c r="G39" i="6" s="1" a="1"/>
  <c r="G39" i="6" s="1"/>
  <c r="F40" i="6"/>
  <c r="G40" i="6" s="1" a="1"/>
  <c r="G40" i="6" s="1"/>
  <c r="F41" i="6"/>
  <c r="G41" i="6" s="1" a="1"/>
  <c r="G41" i="6" s="1"/>
  <c r="F42" i="6"/>
  <c r="G42" i="6" s="1" a="1"/>
  <c r="G42" i="6" s="1"/>
  <c r="F43" i="6"/>
  <c r="G43" i="6" s="1" a="1"/>
  <c r="G43" i="6" s="1"/>
  <c r="F44" i="6"/>
  <c r="G44" i="6" s="1" a="1"/>
  <c r="G44" i="6" s="1"/>
  <c r="F45" i="6"/>
  <c r="G45" i="6" s="1" a="1"/>
  <c r="G45" i="6" s="1"/>
  <c r="F46" i="6"/>
  <c r="F47" i="6"/>
  <c r="G47" i="6" s="1" a="1"/>
  <c r="G47" i="6" s="1"/>
  <c r="F48" i="6"/>
  <c r="G48" i="6" s="1" a="1"/>
  <c r="G48" i="6" s="1"/>
  <c r="F49" i="6"/>
  <c r="G49" i="6" s="1" a="1"/>
  <c r="G49" i="6" s="1"/>
  <c r="F50" i="6"/>
  <c r="G50" i="6" s="1" a="1"/>
  <c r="G50" i="6" s="1"/>
  <c r="F51" i="6"/>
  <c r="G51" i="6" s="1" a="1"/>
  <c r="G51" i="6" s="1"/>
  <c r="F52" i="6"/>
  <c r="G52" i="6" s="1" a="1"/>
  <c r="G52" i="6" s="1"/>
  <c r="F53" i="6"/>
  <c r="G53" i="6" s="1" a="1"/>
  <c r="G53" i="6" s="1"/>
  <c r="F54" i="6"/>
  <c r="G54" i="6" s="1" a="1"/>
  <c r="G54" i="6" s="1"/>
  <c r="F261" i="6"/>
  <c r="G261" i="6" s="1" a="1"/>
  <c r="G261" i="6" s="1"/>
  <c r="F56" i="6"/>
  <c r="G56" i="6" s="1" a="1"/>
  <c r="G56" i="6" s="1"/>
  <c r="F57" i="6"/>
  <c r="G57" i="6" s="1" a="1"/>
  <c r="G57" i="6" s="1"/>
  <c r="F58" i="6"/>
  <c r="G58" i="6" s="1" a="1"/>
  <c r="G58" i="6" s="1"/>
  <c r="F59" i="6"/>
  <c r="G59" i="6" s="1" a="1"/>
  <c r="G59" i="6" s="1"/>
  <c r="F256" i="6"/>
  <c r="G256" i="6" s="1" a="1"/>
  <c r="G256" i="6" s="1"/>
  <c r="F61" i="6"/>
  <c r="G61" i="6" s="1" a="1"/>
  <c r="G61" i="6" s="1"/>
  <c r="F249" i="6"/>
  <c r="G249" i="6" s="1" a="1"/>
  <c r="G249" i="6" s="1"/>
  <c r="F63" i="6"/>
  <c r="G63" i="6" s="1" a="1"/>
  <c r="G63" i="6" s="1"/>
  <c r="F64" i="6"/>
  <c r="G64" i="6" s="1" a="1"/>
  <c r="G64" i="6" s="1"/>
  <c r="F65" i="6"/>
  <c r="G65" i="6" s="1" a="1"/>
  <c r="G65" i="6" s="1"/>
  <c r="F66" i="6"/>
  <c r="G66" i="6" s="1" a="1"/>
  <c r="G66" i="6" s="1"/>
  <c r="F67" i="6"/>
  <c r="G67" i="6" s="1" a="1"/>
  <c r="G67" i="6" s="1"/>
  <c r="F68" i="6"/>
  <c r="G68" i="6" s="1" a="1"/>
  <c r="G68" i="6" s="1"/>
  <c r="F69" i="6"/>
  <c r="G69" i="6" s="1" a="1"/>
  <c r="G69" i="6" s="1"/>
  <c r="F70" i="6"/>
  <c r="G70" i="6" s="1" a="1"/>
  <c r="G70" i="6" s="1"/>
  <c r="F71" i="6"/>
  <c r="G71" i="6" s="1" a="1"/>
  <c r="G71" i="6" s="1"/>
  <c r="F72" i="6"/>
  <c r="G72" i="6" s="1" a="1"/>
  <c r="G72" i="6" s="1"/>
  <c r="F73" i="6"/>
  <c r="G73" i="6" s="1" a="1"/>
  <c r="G73" i="6" s="1"/>
  <c r="F74" i="6"/>
  <c r="G74" i="6" s="1" a="1"/>
  <c r="G74" i="6" s="1"/>
  <c r="F75" i="6"/>
  <c r="G75" i="6" s="1" a="1"/>
  <c r="G75" i="6" s="1"/>
  <c r="F76" i="6"/>
  <c r="G76" i="6" s="1" a="1"/>
  <c r="G76" i="6" s="1"/>
  <c r="F77" i="6"/>
  <c r="G77" i="6" s="1" a="1"/>
  <c r="G77" i="6" s="1"/>
  <c r="F78" i="6"/>
  <c r="G78" i="6" s="1" a="1"/>
  <c r="G78" i="6" s="1"/>
  <c r="F79" i="6"/>
  <c r="G79" i="6" s="1" a="1"/>
  <c r="G79" i="6" s="1"/>
  <c r="F80" i="6"/>
  <c r="G80" i="6" s="1" a="1"/>
  <c r="G80" i="6" s="1"/>
  <c r="F81" i="6"/>
  <c r="G81" i="6" s="1" a="1"/>
  <c r="G81" i="6" s="1"/>
  <c r="F82" i="6"/>
  <c r="G82" i="6" s="1" a="1"/>
  <c r="G82" i="6" s="1"/>
  <c r="F83" i="6"/>
  <c r="G83" i="6" s="1" a="1"/>
  <c r="G83" i="6" s="1"/>
  <c r="F84" i="6"/>
  <c r="G84" i="6" s="1" a="1"/>
  <c r="G84" i="6" s="1"/>
  <c r="F85" i="6"/>
  <c r="G85" i="6" s="1" a="1"/>
  <c r="G85" i="6" s="1"/>
  <c r="F86" i="6"/>
  <c r="G86" i="6" s="1" a="1"/>
  <c r="G86" i="6" s="1"/>
  <c r="F87" i="6"/>
  <c r="G87" i="6" s="1" a="1"/>
  <c r="G87" i="6" s="1"/>
  <c r="F88" i="6"/>
  <c r="G88" i="6" s="1" a="1"/>
  <c r="G88" i="6" s="1"/>
  <c r="F89" i="6"/>
  <c r="G89" i="6" s="1" a="1"/>
  <c r="G89" i="6" s="1"/>
  <c r="F90" i="6"/>
  <c r="G90" i="6" s="1" a="1"/>
  <c r="G90" i="6" s="1"/>
  <c r="F91" i="6"/>
  <c r="G91" i="6" s="1" a="1"/>
  <c r="G91" i="6" s="1"/>
  <c r="F92" i="6"/>
  <c r="G92" i="6" s="1" a="1"/>
  <c r="G92" i="6" s="1"/>
  <c r="F93" i="6"/>
  <c r="G93" i="6" s="1" a="1"/>
  <c r="G93" i="6" s="1"/>
  <c r="F94" i="6"/>
  <c r="F247" i="6"/>
  <c r="G247" i="6" s="1" a="1"/>
  <c r="G247" i="6" s="1"/>
  <c r="F246" i="6"/>
  <c r="G246" i="6" s="1" a="1"/>
  <c r="G246" i="6" s="1"/>
  <c r="F97" i="6"/>
  <c r="G97" i="6" s="1" a="1"/>
  <c r="G97" i="6" s="1"/>
  <c r="F98" i="6"/>
  <c r="G98" i="6" s="1" a="1"/>
  <c r="G98" i="6" s="1"/>
  <c r="F99" i="6"/>
  <c r="G99" i="6" s="1" a="1"/>
  <c r="G99" i="6" s="1"/>
  <c r="F234" i="6"/>
  <c r="G234" i="6" s="1" a="1"/>
  <c r="G234" i="6" s="1"/>
  <c r="F101" i="6"/>
  <c r="G101" i="6" s="1" a="1"/>
  <c r="G101" i="6" s="1"/>
  <c r="F102" i="6"/>
  <c r="G102" i="6" s="1" a="1"/>
  <c r="G102" i="6" s="1"/>
  <c r="F233" i="6"/>
  <c r="G233" i="6" s="1" a="1"/>
  <c r="G233" i="6" s="1"/>
  <c r="F104" i="6"/>
  <c r="G104" i="6" s="1" a="1"/>
  <c r="G104" i="6" s="1"/>
  <c r="F105" i="6"/>
  <c r="G105" i="6" s="1" a="1"/>
  <c r="G105" i="6" s="1"/>
  <c r="F106" i="6"/>
  <c r="G106" i="6" s="1" a="1"/>
  <c r="G106" i="6" s="1"/>
  <c r="F107" i="6"/>
  <c r="G107" i="6" s="1" a="1"/>
  <c r="G107" i="6" s="1"/>
  <c r="F108" i="6"/>
  <c r="G108" i="6" s="1" a="1"/>
  <c r="G108" i="6" s="1"/>
  <c r="F109" i="6"/>
  <c r="G109" i="6" s="1" a="1"/>
  <c r="G109" i="6" s="1"/>
  <c r="F110" i="6"/>
  <c r="G110" i="6" s="1" a="1"/>
  <c r="G110" i="6" s="1"/>
  <c r="F111" i="6"/>
  <c r="G111" i="6" s="1" a="1"/>
  <c r="G111" i="6" s="1"/>
  <c r="F112" i="6"/>
  <c r="G112" i="6" s="1" a="1"/>
  <c r="G112" i="6" s="1"/>
  <c r="F113" i="6"/>
  <c r="G113" i="6" s="1" a="1"/>
  <c r="G113" i="6" s="1"/>
  <c r="F114" i="6"/>
  <c r="G114" i="6" s="1" a="1"/>
  <c r="G114" i="6" s="1"/>
  <c r="F115" i="6"/>
  <c r="G115" i="6" s="1" a="1"/>
  <c r="G115" i="6" s="1"/>
  <c r="F226" i="6"/>
  <c r="G226" i="6" s="1" a="1"/>
  <c r="G226" i="6" s="1"/>
  <c r="F117" i="6"/>
  <c r="G117" i="6" s="1" a="1"/>
  <c r="G117" i="6" s="1"/>
  <c r="F118" i="6"/>
  <c r="G118" i="6" s="1" a="1"/>
  <c r="G118" i="6" s="1"/>
  <c r="F119" i="6"/>
  <c r="G119" i="6" s="1" a="1"/>
  <c r="G119" i="6" s="1"/>
  <c r="F120" i="6"/>
  <c r="G120" i="6" s="1" a="1"/>
  <c r="G120" i="6" s="1"/>
  <c r="F121" i="6"/>
  <c r="G121" i="6" s="1" a="1"/>
  <c r="G121" i="6" s="1"/>
  <c r="F122" i="6"/>
  <c r="G122" i="6" s="1" a="1"/>
  <c r="G122" i="6" s="1"/>
  <c r="F123" i="6"/>
  <c r="G123" i="6" s="1" a="1"/>
  <c r="G123" i="6" s="1"/>
  <c r="F124" i="6"/>
  <c r="G124" i="6" s="1" a="1"/>
  <c r="G124" i="6" s="1"/>
  <c r="F125" i="6"/>
  <c r="G125" i="6" s="1" a="1"/>
  <c r="G125" i="6" s="1"/>
  <c r="F126" i="6"/>
  <c r="G126" i="6" s="1" a="1"/>
  <c r="G126" i="6" s="1"/>
  <c r="F127" i="6"/>
  <c r="G127" i="6" s="1" a="1"/>
  <c r="G127" i="6" s="1"/>
  <c r="F128" i="6"/>
  <c r="G128" i="6" s="1" a="1"/>
  <c r="G128" i="6" s="1"/>
  <c r="F129" i="6"/>
  <c r="G129" i="6" s="1" a="1"/>
  <c r="G129" i="6" s="1"/>
  <c r="F130" i="6"/>
  <c r="G130" i="6" s="1" a="1"/>
  <c r="G130" i="6" s="1"/>
  <c r="F131" i="6"/>
  <c r="G131" i="6" s="1" a="1"/>
  <c r="G131" i="6" s="1"/>
  <c r="F132" i="6"/>
  <c r="G132" i="6" s="1" a="1"/>
  <c r="G132" i="6" s="1"/>
  <c r="F133" i="6"/>
  <c r="G133" i="6" s="1" a="1"/>
  <c r="G133" i="6" s="1"/>
  <c r="F134" i="6"/>
  <c r="G134" i="6" s="1" a="1"/>
  <c r="G134" i="6" s="1"/>
  <c r="F135" i="6"/>
  <c r="G135" i="6" s="1" a="1"/>
  <c r="G135" i="6" s="1"/>
  <c r="F136" i="6"/>
  <c r="G136" i="6" s="1" a="1"/>
  <c r="G136" i="6" s="1"/>
  <c r="F137" i="6"/>
  <c r="G137" i="6" s="1" a="1"/>
  <c r="G137" i="6" s="1"/>
  <c r="F138" i="6"/>
  <c r="G138" i="6" s="1" a="1"/>
  <c r="G138" i="6" s="1"/>
  <c r="F139" i="6"/>
  <c r="G139" i="6" s="1" a="1"/>
  <c r="G139" i="6" s="1"/>
  <c r="F140" i="6"/>
  <c r="G140" i="6" s="1" a="1"/>
  <c r="G140" i="6" s="1"/>
  <c r="F141" i="6"/>
  <c r="G141" i="6" s="1" a="1"/>
  <c r="G141" i="6" s="1"/>
  <c r="F142" i="6"/>
  <c r="G142" i="6" s="1" a="1"/>
  <c r="G142" i="6" s="1"/>
  <c r="F143" i="6"/>
  <c r="G143" i="6" s="1" a="1"/>
  <c r="G143" i="6" s="1"/>
  <c r="F144" i="6"/>
  <c r="G144" i="6" s="1" a="1"/>
  <c r="G144" i="6" s="1"/>
  <c r="F145" i="6"/>
  <c r="G145" i="6" s="1" a="1"/>
  <c r="G145" i="6" s="1"/>
  <c r="F146" i="6"/>
  <c r="G146" i="6" s="1" a="1"/>
  <c r="G146" i="6" s="1"/>
  <c r="F147" i="6"/>
  <c r="G147" i="6" s="1" a="1"/>
  <c r="G147" i="6" s="1"/>
  <c r="F148" i="6"/>
  <c r="G148" i="6" s="1" a="1"/>
  <c r="G148" i="6" s="1"/>
  <c r="F149" i="6"/>
  <c r="G149" i="6" s="1" a="1"/>
  <c r="G149" i="6" s="1"/>
  <c r="F150" i="6"/>
  <c r="G150" i="6" s="1" a="1"/>
  <c r="G150" i="6" s="1"/>
  <c r="F151" i="6"/>
  <c r="G151" i="6" s="1" a="1"/>
  <c r="G151" i="6" s="1"/>
  <c r="F224" i="6"/>
  <c r="G224" i="6" s="1" a="1"/>
  <c r="G224" i="6" s="1"/>
  <c r="F153" i="6"/>
  <c r="G153" i="6" s="1" a="1"/>
  <c r="G153" i="6" s="1"/>
  <c r="F154" i="6"/>
  <c r="G154" i="6" s="1" a="1"/>
  <c r="G154" i="6" s="1"/>
  <c r="F155" i="6"/>
  <c r="G155" i="6" s="1" a="1"/>
  <c r="G155" i="6" s="1"/>
  <c r="F156" i="6"/>
  <c r="G156" i="6" s="1" a="1"/>
  <c r="G156" i="6" s="1"/>
  <c r="F157" i="6"/>
  <c r="G157" i="6" s="1" a="1"/>
  <c r="G157" i="6" s="1"/>
  <c r="F158" i="6"/>
  <c r="G158" i="6" s="1" a="1"/>
  <c r="G158" i="6" s="1"/>
  <c r="F159" i="6"/>
  <c r="G159" i="6" s="1" a="1"/>
  <c r="G159" i="6" s="1"/>
  <c r="F160" i="6"/>
  <c r="G160" i="6" s="1" a="1"/>
  <c r="G160" i="6" s="1"/>
  <c r="F161" i="6"/>
  <c r="G161" i="6" s="1" a="1"/>
  <c r="G161" i="6" s="1"/>
  <c r="F162" i="6"/>
  <c r="G162" i="6" s="1" a="1"/>
  <c r="G162" i="6" s="1"/>
  <c r="F163" i="6"/>
  <c r="G163" i="6" s="1" a="1"/>
  <c r="G163" i="6" s="1"/>
  <c r="F164" i="6"/>
  <c r="G164" i="6" s="1" a="1"/>
  <c r="G164" i="6" s="1"/>
  <c r="F209" i="6"/>
  <c r="G209" i="6" s="1" a="1"/>
  <c r="G209" i="6" s="1"/>
  <c r="F166" i="6"/>
  <c r="G166" i="6" s="1" a="1"/>
  <c r="G166" i="6" s="1"/>
  <c r="F167" i="6"/>
  <c r="G167" i="6" s="1" a="1"/>
  <c r="G167" i="6" s="1"/>
  <c r="F168" i="6"/>
  <c r="G168" i="6" s="1" a="1"/>
  <c r="G168" i="6" s="1"/>
  <c r="F169" i="6"/>
  <c r="G169" i="6" s="1" a="1"/>
  <c r="G169" i="6" s="1"/>
  <c r="F170" i="6"/>
  <c r="G170" i="6" s="1" a="1"/>
  <c r="G170" i="6" s="1"/>
  <c r="F171" i="6"/>
  <c r="G171" i="6" s="1" a="1"/>
  <c r="G171" i="6" s="1"/>
  <c r="F172" i="6"/>
  <c r="G172" i="6" s="1" a="1"/>
  <c r="G172" i="6" s="1"/>
  <c r="F180" i="6"/>
  <c r="G180" i="6" s="1" a="1"/>
  <c r="G180" i="6" s="1"/>
  <c r="F174" i="6"/>
  <c r="G174" i="6" s="1" a="1"/>
  <c r="G174" i="6" s="1"/>
  <c r="F175" i="6"/>
  <c r="G175" i="6" s="1" a="1"/>
  <c r="G175" i="6" s="1"/>
  <c r="F176" i="6"/>
  <c r="G176" i="6" s="1" a="1"/>
  <c r="G176" i="6" s="1"/>
  <c r="F177" i="6"/>
  <c r="G177" i="6" s="1" a="1"/>
  <c r="G177" i="6" s="1"/>
  <c r="F178" i="6"/>
  <c r="G178" i="6" s="1" a="1"/>
  <c r="G178" i="6" s="1"/>
  <c r="F179" i="6"/>
  <c r="G179" i="6" s="1" a="1"/>
  <c r="G179" i="6" s="1"/>
  <c r="F173" i="6"/>
  <c r="G173" i="6" s="1" a="1"/>
  <c r="G173" i="6" s="1"/>
  <c r="F181" i="6"/>
  <c r="G181" i="6" s="1" a="1"/>
  <c r="G181" i="6" s="1"/>
  <c r="F182" i="6"/>
  <c r="G182" i="6" s="1" a="1"/>
  <c r="G182" i="6" s="1"/>
  <c r="F183" i="6"/>
  <c r="G183" i="6" s="1" a="1"/>
  <c r="G183" i="6" s="1"/>
  <c r="F184" i="6"/>
  <c r="G184" i="6" s="1" a="1"/>
  <c r="G184" i="6" s="1"/>
  <c r="F185" i="6"/>
  <c r="G185" i="6" s="1" a="1"/>
  <c r="G185" i="6" s="1"/>
  <c r="F186" i="6"/>
  <c r="G186" i="6" s="1" a="1"/>
  <c r="G186" i="6" s="1"/>
  <c r="F187" i="6"/>
  <c r="G187" i="6" s="1" a="1"/>
  <c r="G187" i="6" s="1"/>
  <c r="F188" i="6"/>
  <c r="G188" i="6" s="1" a="1"/>
  <c r="G188" i="6" s="1"/>
  <c r="F189" i="6"/>
  <c r="G189" i="6" s="1" a="1"/>
  <c r="G189" i="6" s="1"/>
  <c r="F190" i="6"/>
  <c r="G190" i="6" s="1" a="1"/>
  <c r="G190" i="6" s="1"/>
  <c r="F191" i="6"/>
  <c r="G191" i="6" s="1" a="1"/>
  <c r="G191" i="6" s="1"/>
  <c r="F192" i="6"/>
  <c r="G192" i="6" s="1" a="1"/>
  <c r="G192" i="6" s="1"/>
  <c r="F193" i="6"/>
  <c r="G193" i="6" s="1" a="1"/>
  <c r="G193" i="6" s="1"/>
  <c r="F194" i="6"/>
  <c r="G194" i="6" s="1" a="1"/>
  <c r="G194" i="6" s="1"/>
  <c r="F195" i="6"/>
  <c r="G195" i="6" s="1" a="1"/>
  <c r="G195" i="6" s="1"/>
  <c r="F196" i="6"/>
  <c r="G196" i="6" s="1" a="1"/>
  <c r="G196" i="6" s="1"/>
  <c r="F197" i="6"/>
  <c r="G197" i="6" s="1" a="1"/>
  <c r="G197" i="6" s="1"/>
  <c r="F198" i="6"/>
  <c r="G198" i="6" s="1" a="1"/>
  <c r="G198" i="6" s="1"/>
  <c r="F199" i="6"/>
  <c r="G199" i="6" s="1" a="1"/>
  <c r="G199" i="6" s="1"/>
  <c r="F200" i="6"/>
  <c r="G200" i="6" s="1" a="1"/>
  <c r="G200" i="6" s="1"/>
  <c r="F201" i="6"/>
  <c r="G201" i="6" s="1" a="1"/>
  <c r="G201" i="6" s="1"/>
  <c r="F202" i="6"/>
  <c r="G202" i="6" s="1" a="1"/>
  <c r="G202" i="6" s="1"/>
  <c r="F203" i="6"/>
  <c r="G203" i="6" s="1" a="1"/>
  <c r="G203" i="6" s="1"/>
  <c r="F204" i="6"/>
  <c r="G204" i="6" s="1" a="1"/>
  <c r="G204" i="6" s="1"/>
  <c r="F205" i="6"/>
  <c r="G205" i="6" s="1" a="1"/>
  <c r="G205" i="6" s="1"/>
  <c r="F206" i="6"/>
  <c r="G206" i="6" s="1" a="1"/>
  <c r="G206" i="6" s="1"/>
  <c r="F207" i="6"/>
  <c r="G207" i="6" s="1" a="1"/>
  <c r="G207" i="6" s="1"/>
  <c r="F208" i="6"/>
  <c r="G208" i="6" s="1" a="1"/>
  <c r="G208" i="6" s="1"/>
  <c r="F165" i="6"/>
  <c r="G165" i="6" s="1" a="1"/>
  <c r="G165" i="6" s="1"/>
  <c r="F210" i="6"/>
  <c r="G210" i="6" s="1" a="1"/>
  <c r="G210" i="6" s="1"/>
  <c r="F211" i="6"/>
  <c r="G211" i="6" s="1" a="1"/>
  <c r="G211" i="6" s="1"/>
  <c r="F212" i="6"/>
  <c r="G212" i="6" s="1" a="1"/>
  <c r="G212" i="6" s="1"/>
  <c r="F213" i="6"/>
  <c r="G213" i="6" s="1" a="1"/>
  <c r="G213" i="6" s="1"/>
  <c r="F214" i="6"/>
  <c r="G214" i="6" s="1" a="1"/>
  <c r="G214" i="6" s="1"/>
  <c r="F215" i="6"/>
  <c r="G215" i="6" s="1" a="1"/>
  <c r="G215" i="6" s="1"/>
  <c r="F216" i="6"/>
  <c r="G216" i="6" s="1" a="1"/>
  <c r="G216" i="6" s="1"/>
  <c r="F217" i="6"/>
  <c r="G217" i="6" s="1" a="1"/>
  <c r="G217" i="6" s="1"/>
  <c r="F218" i="6"/>
  <c r="G218" i="6" s="1" a="1"/>
  <c r="G218" i="6" s="1"/>
  <c r="F219" i="6"/>
  <c r="G219" i="6" s="1" a="1"/>
  <c r="G219" i="6" s="1"/>
  <c r="F220" i="6"/>
  <c r="G220" i="6" s="1" a="1"/>
  <c r="G220" i="6" s="1"/>
  <c r="F221" i="6"/>
  <c r="G221" i="6" s="1" a="1"/>
  <c r="G221" i="6" s="1"/>
  <c r="F222" i="6"/>
  <c r="G222" i="6" s="1" a="1"/>
  <c r="G222" i="6" s="1"/>
  <c r="F223" i="6"/>
  <c r="G223" i="6" s="1" a="1"/>
  <c r="G223" i="6" s="1"/>
  <c r="F152" i="6"/>
  <c r="G152" i="6" s="1" a="1"/>
  <c r="G152" i="6" s="1"/>
  <c r="F225" i="6"/>
  <c r="G225" i="6" s="1" a="1"/>
  <c r="G225" i="6" s="1"/>
  <c r="F116" i="6"/>
  <c r="G116" i="6" s="1" a="1"/>
  <c r="G116" i="6" s="1"/>
  <c r="F227" i="6"/>
  <c r="G227" i="6" s="1" a="1"/>
  <c r="G227" i="6" s="1"/>
  <c r="F228" i="6"/>
  <c r="G228" i="6" s="1" a="1"/>
  <c r="G228" i="6" s="1"/>
  <c r="F229" i="6"/>
  <c r="G229" i="6" s="1" a="1"/>
  <c r="G229" i="6" s="1"/>
  <c r="F230" i="6"/>
  <c r="G230" i="6" s="1" a="1"/>
  <c r="G230" i="6" s="1"/>
  <c r="F231" i="6"/>
  <c r="G231" i="6" s="1" a="1"/>
  <c r="G231" i="6" s="1"/>
  <c r="F232" i="6"/>
  <c r="G232" i="6" s="1" a="1"/>
  <c r="G232" i="6" s="1"/>
  <c r="F100" i="6"/>
  <c r="G100" i="6" s="1" a="1"/>
  <c r="G100" i="6" s="1"/>
  <c r="F103" i="6"/>
  <c r="G103" i="6" s="1" a="1"/>
  <c r="G103" i="6" s="1"/>
  <c r="F235" i="6"/>
  <c r="G235" i="6" s="1" a="1"/>
  <c r="G235" i="6" s="1"/>
  <c r="F236" i="6"/>
  <c r="G236" i="6" s="1" a="1"/>
  <c r="G236" i="6" s="1"/>
  <c r="F237" i="6"/>
  <c r="G237" i="6" s="1" a="1"/>
  <c r="G237" i="6" s="1"/>
  <c r="F238" i="6"/>
  <c r="G238" i="6" s="1" a="1"/>
  <c r="G238" i="6" s="1"/>
  <c r="F239" i="6"/>
  <c r="G239" i="6" s="1" a="1"/>
  <c r="G239" i="6" s="1"/>
  <c r="F240" i="6"/>
  <c r="G240" i="6" s="1" a="1"/>
  <c r="G240" i="6" s="1"/>
  <c r="F241" i="6"/>
  <c r="G241" i="6" s="1" a="1"/>
  <c r="G241" i="6" s="1"/>
  <c r="F242" i="6"/>
  <c r="G242" i="6" s="1" a="1"/>
  <c r="G242" i="6" s="1"/>
  <c r="F243" i="6"/>
  <c r="G243" i="6" s="1" a="1"/>
  <c r="G243" i="6" s="1"/>
  <c r="F244" i="6"/>
  <c r="G244" i="6" s="1" a="1"/>
  <c r="G244" i="6" s="1"/>
  <c r="F245" i="6"/>
  <c r="G245" i="6" s="1" a="1"/>
  <c r="G245" i="6" s="1"/>
  <c r="F96" i="6"/>
  <c r="G96" i="6" s="1" a="1"/>
  <c r="G96" i="6" s="1"/>
  <c r="F62" i="6"/>
  <c r="G62" i="6" s="1" a="1"/>
  <c r="G62" i="6" s="1"/>
  <c r="F248" i="6"/>
  <c r="G248" i="6" s="1" a="1"/>
  <c r="G248" i="6" s="1"/>
  <c r="F95" i="6"/>
  <c r="G95" i="6" s="1" a="1"/>
  <c r="G95" i="6" s="1"/>
  <c r="F250" i="6"/>
  <c r="G250" i="6" s="1" a="1"/>
  <c r="G250" i="6" s="1"/>
  <c r="F251" i="6"/>
  <c r="G251" i="6" s="1" a="1"/>
  <c r="G251" i="6" s="1"/>
  <c r="F252" i="6"/>
  <c r="G252" i="6" s="1" a="1"/>
  <c r="G252" i="6" s="1"/>
  <c r="F253" i="6"/>
  <c r="G253" i="6" s="1" a="1"/>
  <c r="G253" i="6" s="1"/>
  <c r="F254" i="6"/>
  <c r="G254" i="6" s="1" a="1"/>
  <c r="G254" i="6" s="1"/>
  <c r="F255" i="6"/>
  <c r="G255" i="6" s="1" a="1"/>
  <c r="G255" i="6" s="1"/>
  <c r="F60" i="6"/>
  <c r="G60" i="6" s="1" a="1"/>
  <c r="G60" i="6" s="1"/>
  <c r="F257" i="6"/>
  <c r="G257" i="6" s="1" a="1"/>
  <c r="G257" i="6" s="1"/>
  <c r="F258" i="6"/>
  <c r="G258" i="6" s="1" a="1"/>
  <c r="G258" i="6" s="1"/>
  <c r="F259" i="6"/>
  <c r="G259" i="6" s="1" a="1"/>
  <c r="G259" i="6" s="1"/>
  <c r="F260" i="6"/>
  <c r="G260" i="6" s="1" a="1"/>
  <c r="G260" i="6" s="1"/>
  <c r="F55" i="6"/>
  <c r="G55" i="6" s="1" a="1"/>
  <c r="G55" i="6" s="1"/>
  <c r="F7" i="6"/>
  <c r="G7" i="6" s="1" a="1"/>
  <c r="G7" i="6" s="1"/>
  <c r="F263" i="6"/>
  <c r="G263" i="6" s="1" a="1"/>
  <c r="G263" i="6" s="1"/>
  <c r="F264" i="6"/>
  <c r="G264" i="6" s="1" a="1"/>
  <c r="G264" i="6" s="1"/>
  <c r="F265" i="6"/>
  <c r="G265" i="6" s="1" a="1"/>
  <c r="G265" i="6" s="1"/>
  <c r="F266" i="6"/>
  <c r="G266" i="6" s="1" a="1"/>
  <c r="G266" i="6" s="1"/>
  <c r="F267" i="6"/>
  <c r="G267" i="6" s="1" a="1"/>
  <c r="G267" i="6" s="1"/>
  <c r="F6" i="6"/>
  <c r="G6" i="6" s="1" a="1"/>
  <c r="G6" i="6" s="1"/>
  <c r="F269" i="6"/>
  <c r="G269" i="6" s="1" a="1"/>
  <c r="G269" i="6" s="1"/>
  <c r="F5" i="6"/>
  <c r="G5" i="6" s="1" a="1"/>
  <c r="G5" i="6" s="1"/>
  <c r="F271" i="6"/>
  <c r="G271" i="6" s="1" a="1"/>
  <c r="G271" i="6" s="1"/>
  <c r="F272" i="6"/>
  <c r="G272" i="6" s="1" a="1"/>
  <c r="G272" i="6" s="1"/>
  <c r="F273" i="6"/>
  <c r="G273" i="6" s="1" a="1"/>
  <c r="G273" i="6" s="1"/>
  <c r="F274" i="6"/>
  <c r="G274" i="6" s="1" a="1"/>
  <c r="G274" i="6" s="1"/>
  <c r="F275" i="6"/>
  <c r="G275" i="6" s="1" a="1"/>
  <c r="G275" i="6" s="1"/>
  <c r="F276" i="6"/>
  <c r="G276" i="6" s="1" a="1"/>
  <c r="G276" i="6" s="1"/>
  <c r="E1157" i="1" a="1"/>
  <c r="E1157" i="1" s="1"/>
  <c r="F1157" i="1" a="1"/>
  <c r="F1157" i="1" s="1"/>
  <c r="G22" i="6" a="1"/>
  <c r="G22" i="6" s="1"/>
  <c r="H15" i="6"/>
  <c r="H264" i="6"/>
  <c r="H16" i="6"/>
  <c r="H183" i="6"/>
  <c r="H253" i="6"/>
  <c r="H136" i="6"/>
  <c r="H112" i="6"/>
  <c r="H143" i="6"/>
  <c r="H54" i="6"/>
  <c r="H160" i="6"/>
  <c r="H74" i="6"/>
  <c r="H53" i="6"/>
  <c r="H200" i="6"/>
  <c r="H14" i="6"/>
  <c r="H215" i="6"/>
  <c r="H158" i="6"/>
  <c r="H135" i="6"/>
  <c r="H80" i="6"/>
  <c r="H114" i="6"/>
  <c r="H113" i="6"/>
  <c r="H107" i="6"/>
  <c r="H122" i="6"/>
  <c r="H181" i="6"/>
  <c r="H216" i="6"/>
  <c r="H205" i="6"/>
  <c r="H237" i="6"/>
  <c r="H210" i="6"/>
  <c r="H238" i="6"/>
  <c r="H269" i="6"/>
  <c r="H263" i="6"/>
  <c r="H274" i="6"/>
  <c r="H232" i="6"/>
  <c r="H257" i="6"/>
  <c r="H243" i="6"/>
  <c r="H219" i="6"/>
  <c r="H7" i="6"/>
  <c r="H6" i="6"/>
  <c r="H55" i="6"/>
  <c r="H60" i="6"/>
  <c r="H152" i="6"/>
  <c r="H100" i="6"/>
  <c r="H103" i="6"/>
  <c r="H165" i="6"/>
  <c r="H209" i="6"/>
  <c r="H266" i="6"/>
  <c r="H198" i="6"/>
  <c r="H259" i="6"/>
  <c r="H231" i="6"/>
  <c r="H276" i="6"/>
  <c r="H272" i="6"/>
  <c r="H267" i="6"/>
  <c r="H271" i="6"/>
  <c r="H255" i="6"/>
  <c r="H162" i="6"/>
  <c r="H206" i="6"/>
  <c r="H275" i="6"/>
  <c r="H260" i="6"/>
  <c r="H225" i="6"/>
  <c r="H265" i="6"/>
  <c r="H258" i="6"/>
  <c r="H245" i="6"/>
  <c r="H251" i="6"/>
  <c r="H250" i="6"/>
  <c r="H242" i="6"/>
  <c r="H193" i="6"/>
  <c r="H66" i="6"/>
  <c r="H96" i="6"/>
  <c r="H95" i="6"/>
  <c r="H62" i="6"/>
  <c r="H184" i="6"/>
  <c r="H227" i="6"/>
  <c r="H235" i="6"/>
  <c r="H213" i="6"/>
  <c r="H148" i="6"/>
  <c r="H241" i="6"/>
  <c r="H201" i="6"/>
  <c r="H223" i="6"/>
  <c r="H273" i="6"/>
  <c r="H187" i="6"/>
  <c r="H150" i="6"/>
  <c r="H217" i="6"/>
  <c r="H204" i="6"/>
  <c r="H133" i="6"/>
  <c r="H151" i="6"/>
  <c r="H90" i="6"/>
  <c r="H222" i="6"/>
  <c r="H191" i="6"/>
  <c r="H196" i="6"/>
  <c r="H147" i="6"/>
  <c r="H5" i="6"/>
  <c r="H173" i="6"/>
  <c r="H180" i="6"/>
  <c r="H249" i="6"/>
  <c r="H124" i="6"/>
  <c r="H229" i="6"/>
  <c r="H175" i="6"/>
  <c r="H172" i="6"/>
  <c r="H164" i="6"/>
  <c r="H120" i="6"/>
  <c r="H240" i="6"/>
  <c r="H194" i="6"/>
  <c r="H149" i="6"/>
  <c r="H230" i="6"/>
  <c r="H228" i="6"/>
  <c r="H101" i="6"/>
  <c r="H220" i="6"/>
  <c r="H221" i="6"/>
  <c r="H248" i="6"/>
  <c r="H174" i="6"/>
  <c r="H244" i="6"/>
  <c r="H208" i="6"/>
  <c r="H203" i="6"/>
  <c r="H132" i="6"/>
  <c r="H211" i="6"/>
  <c r="H116" i="6"/>
  <c r="H236" i="6"/>
  <c r="H212" i="6"/>
  <c r="H144" i="6"/>
  <c r="H126" i="6"/>
  <c r="H110" i="6"/>
  <c r="H123" i="6"/>
  <c r="H88" i="6"/>
  <c r="H79" i="6"/>
  <c r="H254" i="6"/>
  <c r="H145" i="6"/>
  <c r="H167" i="6"/>
  <c r="H94" i="6"/>
  <c r="H179" i="6"/>
  <c r="H207" i="6"/>
  <c r="H185" i="6"/>
  <c r="H218" i="6"/>
  <c r="H202" i="6"/>
  <c r="H190" i="6"/>
  <c r="H169" i="6"/>
  <c r="H140" i="6"/>
  <c r="H85" i="6"/>
  <c r="H128" i="6"/>
  <c r="H182" i="6"/>
  <c r="H168" i="6"/>
  <c r="H86" i="6"/>
  <c r="H176" i="6"/>
  <c r="H199" i="6"/>
  <c r="H166" i="6"/>
  <c r="H102" i="6"/>
  <c r="H224" i="6"/>
  <c r="H246" i="6"/>
  <c r="H226" i="6"/>
  <c r="H127" i="6"/>
  <c r="H252" i="6"/>
  <c r="H139" i="6"/>
  <c r="H163" i="6"/>
  <c r="H189" i="6"/>
  <c r="H106" i="6"/>
  <c r="H58" i="6"/>
  <c r="H177" i="6"/>
  <c r="H170" i="6"/>
  <c r="H141" i="6"/>
  <c r="H137" i="6"/>
  <c r="H67" i="6"/>
  <c r="H178" i="6"/>
  <c r="H197" i="6"/>
  <c r="H91" i="6"/>
  <c r="H239" i="6"/>
  <c r="H131" i="6"/>
  <c r="H234" i="6"/>
  <c r="H186" i="6"/>
  <c r="H99" i="6"/>
  <c r="H76" i="6"/>
  <c r="H98" i="6"/>
  <c r="H82" i="6"/>
  <c r="H155" i="6"/>
  <c r="H121" i="6"/>
  <c r="H77" i="6"/>
  <c r="H63" i="6"/>
  <c r="H75" i="6"/>
  <c r="H64" i="6"/>
  <c r="H171" i="6"/>
  <c r="H92" i="6"/>
  <c r="H195" i="6"/>
  <c r="H142" i="6"/>
  <c r="H129" i="6"/>
  <c r="H146" i="6"/>
  <c r="H153" i="6"/>
  <c r="H125" i="6"/>
  <c r="H71" i="6"/>
  <c r="H233" i="6"/>
  <c r="H256" i="6"/>
  <c r="H214" i="6"/>
  <c r="H89" i="6"/>
  <c r="H104" i="6"/>
  <c r="H192" i="6"/>
  <c r="H138" i="6"/>
  <c r="H157" i="6"/>
  <c r="H78" i="6"/>
  <c r="H70" i="6"/>
  <c r="H81" i="6"/>
  <c r="H108" i="6"/>
  <c r="H68" i="6"/>
  <c r="H156" i="6"/>
  <c r="H130" i="6"/>
  <c r="H261" i="6"/>
  <c r="H134" i="6"/>
  <c r="H61" i="6"/>
  <c r="H65" i="6"/>
  <c r="H161" i="6"/>
  <c r="H69" i="6"/>
  <c r="H111" i="6"/>
  <c r="H59" i="6"/>
  <c r="H154" i="6"/>
  <c r="H87" i="6"/>
  <c r="H83" i="6"/>
  <c r="H188" i="6"/>
  <c r="H118" i="6"/>
  <c r="H72" i="6"/>
  <c r="H84" i="6"/>
  <c r="H56" i="6"/>
  <c r="H109" i="6"/>
  <c r="H159" i="6"/>
  <c r="H119" i="6"/>
  <c r="H117" i="6"/>
  <c r="H97" i="6"/>
  <c r="H73" i="6"/>
  <c r="H105" i="6"/>
  <c r="H57" i="6"/>
  <c r="H115" i="6"/>
  <c r="H247" i="6"/>
  <c r="H93" i="6"/>
  <c r="H2" i="6"/>
  <c r="H4" i="6"/>
  <c r="H268" i="6"/>
  <c r="H262" i="6"/>
  <c r="H270" i="6"/>
  <c r="H8" i="6"/>
  <c r="H10" i="6"/>
  <c r="H9" i="6"/>
  <c r="H11" i="6"/>
  <c r="H12" i="6"/>
  <c r="H13" i="6"/>
  <c r="H18" i="6"/>
  <c r="H19" i="6"/>
  <c r="H17" i="6"/>
  <c r="H20" i="6"/>
  <c r="H21" i="6"/>
  <c r="H22" i="6"/>
  <c r="H26" i="6"/>
  <c r="H23" i="6"/>
  <c r="H24" i="6"/>
  <c r="H25" i="6"/>
  <c r="H28" i="6"/>
  <c r="H27" i="6"/>
  <c r="H29" i="6"/>
  <c r="H35" i="6"/>
  <c r="H38" i="6"/>
  <c r="H33" i="6"/>
  <c r="H36" i="6"/>
  <c r="H32" i="6"/>
  <c r="H30" i="6"/>
  <c r="H31" i="6"/>
  <c r="H34" i="6"/>
  <c r="H40" i="6"/>
  <c r="H41" i="6"/>
  <c r="H42" i="6"/>
  <c r="H39" i="6"/>
  <c r="H43" i="6"/>
  <c r="H44" i="6"/>
  <c r="H45" i="6"/>
  <c r="H46" i="6"/>
  <c r="H47" i="6"/>
  <c r="H48" i="6"/>
  <c r="H49" i="6"/>
  <c r="H51" i="6"/>
  <c r="H50" i="6"/>
  <c r="H52" i="6"/>
  <c r="H3" i="6"/>
  <c r="H37" i="6"/>
  <c r="G94" i="6" a="1"/>
  <c r="G94" i="6" s="1"/>
  <c r="G46" i="6" a="1"/>
  <c r="G46" i="6" s="1"/>
  <c r="E21" i="8"/>
  <c r="E22" i="8"/>
  <c r="E20" i="8"/>
  <c r="E17" i="8"/>
  <c r="E18" i="8"/>
  <c r="E19" i="8"/>
  <c r="E16" i="8"/>
  <c r="E26" i="8"/>
  <c r="E27" i="8"/>
  <c r="E28" i="8"/>
  <c r="E29" i="8"/>
  <c r="E25" i="8"/>
  <c r="E24" i="8"/>
  <c r="E23" i="8"/>
  <c r="E13" i="8"/>
  <c r="E14" i="8"/>
  <c r="E15" i="8"/>
  <c r="E12" i="8"/>
  <c r="E10" i="8"/>
  <c r="E11" i="8"/>
  <c r="E9" i="8"/>
  <c r="I343" i="6" l="1" a="1"/>
  <c r="I343" i="6" s="1"/>
  <c r="I342" i="6" a="1"/>
  <c r="I342" i="6" s="1"/>
  <c r="I347" i="6" a="1"/>
  <c r="I347" i="6" s="1"/>
  <c r="I349" i="6" a="1"/>
  <c r="I349" i="6" s="1"/>
  <c r="I346" i="6" a="1"/>
  <c r="I346" i="6" s="1"/>
  <c r="I350" i="6" a="1"/>
  <c r="I350" i="6" s="1"/>
  <c r="I351" i="6" a="1"/>
  <c r="I351" i="6" s="1"/>
  <c r="I326" i="6" a="1"/>
  <c r="I326" i="6" s="1"/>
  <c r="I330" i="6" a="1"/>
  <c r="I330" i="6" s="1"/>
  <c r="I340" i="6" a="1"/>
  <c r="I340" i="6" s="1"/>
  <c r="I344" i="6" a="1"/>
  <c r="I344" i="6" s="1"/>
  <c r="I329" i="6" a="1"/>
  <c r="I329" i="6" s="1"/>
  <c r="I332" i="6" a="1"/>
  <c r="I332" i="6" s="1"/>
  <c r="I337" i="6" a="1"/>
  <c r="I337" i="6" s="1"/>
  <c r="I331" i="6" a="1"/>
  <c r="I331" i="6" s="1"/>
  <c r="I322" i="6" a="1"/>
  <c r="I322" i="6" s="1"/>
  <c r="I338" i="6" a="1"/>
  <c r="I338" i="6" s="1"/>
  <c r="I336" i="6" a="1"/>
  <c r="I336" i="6" s="1"/>
  <c r="I335" i="6" a="1"/>
  <c r="I335" i="6" s="1"/>
  <c r="I339" i="6" a="1"/>
  <c r="I339" i="6" s="1"/>
  <c r="I341" i="6" a="1"/>
  <c r="I341" i="6" s="1"/>
  <c r="I333" i="6" a="1"/>
  <c r="I333" i="6" s="1"/>
  <c r="I334" i="6" a="1"/>
  <c r="I334" i="6" s="1"/>
  <c r="I328" i="6" a="1"/>
  <c r="I328" i="6" s="1"/>
  <c r="I310" i="6" a="1"/>
  <c r="I310" i="6" s="1"/>
  <c r="I325" i="6" a="1"/>
  <c r="I325" i="6" s="1"/>
  <c r="I324" i="6" a="1"/>
  <c r="I324" i="6" s="1"/>
  <c r="I323" i="6" a="1"/>
  <c r="I323" i="6" s="1"/>
  <c r="I327" i="6" a="1"/>
  <c r="I327" i="6" s="1"/>
  <c r="I321" i="6" a="1"/>
  <c r="I321" i="6" s="1"/>
  <c r="I320" i="6" a="1"/>
  <c r="I320" i="6" s="1"/>
  <c r="I312" i="6" a="1"/>
  <c r="I312" i="6" s="1"/>
  <c r="I319" i="6" a="1"/>
  <c r="I319" i="6" s="1"/>
  <c r="I313" i="6" a="1"/>
  <c r="I313" i="6" s="1"/>
  <c r="I308" i="6" a="1"/>
  <c r="I308" i="6" s="1"/>
  <c r="I309" i="6" a="1"/>
  <c r="I309" i="6" s="1"/>
  <c r="I302" i="6" a="1"/>
  <c r="I302" i="6" s="1"/>
  <c r="I306" i="6" a="1"/>
  <c r="I306" i="6" s="1"/>
  <c r="I316" i="6" a="1"/>
  <c r="I316" i="6" s="1"/>
  <c r="I317" i="6" a="1"/>
  <c r="I317" i="6" s="1"/>
  <c r="I295" i="6" a="1"/>
  <c r="I295" i="6" s="1"/>
  <c r="I315" i="6" a="1"/>
  <c r="I315" i="6" s="1"/>
  <c r="I314" i="6" a="1"/>
  <c r="I314" i="6" s="1"/>
  <c r="I318" i="6" a="1"/>
  <c r="I318" i="6" s="1"/>
  <c r="I292" i="6" a="1"/>
  <c r="I292" i="6" s="1"/>
  <c r="I303" i="6" a="1"/>
  <c r="I303" i="6" s="1"/>
  <c r="I305" i="6" a="1"/>
  <c r="I305" i="6" s="1"/>
  <c r="I301" i="6" a="1"/>
  <c r="I301" i="6" s="1"/>
  <c r="I307" i="6" a="1"/>
  <c r="I307" i="6" s="1"/>
  <c r="I311" i="6" a="1"/>
  <c r="I311" i="6" s="1"/>
  <c r="I294" i="6" a="1"/>
  <c r="I294" i="6" s="1"/>
  <c r="I299" i="6" a="1"/>
  <c r="I299" i="6" s="1"/>
  <c r="I300" i="6" a="1"/>
  <c r="I300" i="6" s="1"/>
  <c r="I304" i="6" a="1"/>
  <c r="I304" i="6" s="1"/>
  <c r="I298" i="6" a="1"/>
  <c r="I298" i="6" s="1"/>
  <c r="I293" i="6" a="1"/>
  <c r="I293" i="6" s="1"/>
  <c r="I297" i="6" a="1"/>
  <c r="I297" i="6" s="1"/>
  <c r="I296" i="6" a="1"/>
  <c r="I296" i="6" s="1"/>
  <c r="I291" i="6" a="1"/>
  <c r="I291" i="6" s="1"/>
  <c r="I284" i="6" a="1"/>
  <c r="I284" i="6" s="1"/>
  <c r="I290" i="6" a="1"/>
  <c r="I290" i="6" s="1"/>
  <c r="I283" i="6" a="1"/>
  <c r="I283" i="6" s="1"/>
  <c r="I289" i="6" a="1"/>
  <c r="I289" i="6" s="1"/>
  <c r="I280" i="6" a="1"/>
  <c r="I280" i="6" s="1"/>
  <c r="I287" i="6" a="1"/>
  <c r="I287" i="6" s="1"/>
  <c r="I286" i="6" a="1"/>
  <c r="I286" i="6" s="1"/>
  <c r="I288" i="6" a="1"/>
  <c r="I288" i="6" s="1"/>
  <c r="I285" i="6" a="1"/>
  <c r="I285" i="6" s="1"/>
  <c r="I282" i="6" a="1"/>
  <c r="I282" i="6" s="1"/>
  <c r="I281" i="6" a="1"/>
  <c r="I281" i="6" s="1"/>
  <c r="I279" i="6" a="1"/>
  <c r="I279" i="6" s="1"/>
  <c r="I278" i="6" a="1"/>
  <c r="I278" i="6" s="1"/>
  <c r="I277" i="6" a="1"/>
  <c r="I277" i="6" s="1"/>
  <c r="I164" i="6" a="1"/>
  <c r="I164" i="6" s="1"/>
  <c r="I257" i="6" a="1"/>
  <c r="I257" i="6" s="1"/>
  <c r="I74" i="6" a="1"/>
  <c r="I74" i="6" s="1"/>
  <c r="I230" i="6" a="1"/>
  <c r="I230" i="6" s="1"/>
  <c r="I158" i="6" a="1"/>
  <c r="I158" i="6" s="1"/>
  <c r="I233" i="6" a="1"/>
  <c r="I233" i="6" s="1"/>
  <c r="I220" i="6" a="1"/>
  <c r="I220" i="6" s="1"/>
  <c r="I243" i="6" a="1"/>
  <c r="I243" i="6" s="1"/>
  <c r="I122" i="6" a="1"/>
  <c r="I122" i="6" s="1"/>
  <c r="I242" i="6" a="1"/>
  <c r="I242" i="6" s="1"/>
  <c r="I65" i="6" a="1"/>
  <c r="I65" i="6" s="1"/>
  <c r="I217" i="6" a="1"/>
  <c r="I217" i="6" s="1"/>
  <c r="I100" i="6" a="1"/>
  <c r="I100" i="6" s="1"/>
  <c r="I198" i="6" a="1"/>
  <c r="I198" i="6" s="1"/>
  <c r="I77" i="6" a="1"/>
  <c r="I77" i="6" s="1"/>
  <c r="I255" i="6" a="1"/>
  <c r="I255" i="6" s="1"/>
  <c r="I209" i="6" a="1"/>
  <c r="I209" i="6" s="1"/>
  <c r="I183" i="6" a="1"/>
  <c r="I183" i="6" s="1"/>
  <c r="I82" i="6" a="1"/>
  <c r="I82" i="6" s="1"/>
  <c r="I5" i="6" a="1"/>
  <c r="I5" i="6" s="1"/>
  <c r="I103" i="6" a="1"/>
  <c r="I103" i="6" s="1"/>
  <c r="I238" i="6" a="1"/>
  <c r="I238" i="6" s="1"/>
  <c r="I64" i="6" a="1"/>
  <c r="I64" i="6" s="1"/>
  <c r="I231" i="6" a="1"/>
  <c r="I231" i="6" s="1"/>
  <c r="I153" i="6" a="1"/>
  <c r="I153" i="6" s="1"/>
  <c r="I144" i="6" a="1"/>
  <c r="I144" i="6" s="1"/>
  <c r="I263" i="6" a="1"/>
  <c r="I263" i="6" s="1"/>
  <c r="I237" i="6" a="1"/>
  <c r="I237" i="6" s="1"/>
  <c r="I143" i="6" a="1"/>
  <c r="I143" i="6" s="1"/>
  <c r="I161" i="6" a="1"/>
  <c r="I161" i="6" s="1"/>
  <c r="I108" i="6" a="1"/>
  <c r="I108" i="6" s="1"/>
  <c r="I249" i="6" a="1"/>
  <c r="I249" i="6" s="1"/>
  <c r="I264" i="6" a="1"/>
  <c r="I264" i="6" s="1"/>
  <c r="I69" i="6" a="1"/>
  <c r="I69" i="6" s="1"/>
  <c r="I63" i="6" a="1"/>
  <c r="I63" i="6" s="1"/>
  <c r="I139" i="6" a="1"/>
  <c r="I139" i="6" s="1"/>
  <c r="I251" i="6" a="1"/>
  <c r="I251" i="6" s="1"/>
  <c r="I54" i="6" a="1"/>
  <c r="I54" i="6" s="1"/>
  <c r="I135" i="6" a="1"/>
  <c r="I135" i="6" s="1"/>
  <c r="I253" i="6" a="1"/>
  <c r="I253" i="6" s="1"/>
  <c r="I172" i="6" a="1"/>
  <c r="I172" i="6" s="1"/>
  <c r="I84" i="6" a="1"/>
  <c r="I84" i="6" s="1"/>
  <c r="I192" i="6" a="1"/>
  <c r="I192" i="6" s="1"/>
  <c r="I166" i="6" a="1"/>
  <c r="I166" i="6" s="1"/>
  <c r="I274" i="6" a="1"/>
  <c r="I274" i="6" s="1"/>
  <c r="I104" i="6" a="1"/>
  <c r="I104" i="6" s="1"/>
  <c r="I146" i="6" a="1"/>
  <c r="I146" i="6" s="1"/>
  <c r="I199" i="6" a="1"/>
  <c r="I199" i="6" s="1"/>
  <c r="I169" i="6" a="1"/>
  <c r="I169" i="6" s="1"/>
  <c r="I244" i="6" a="1"/>
  <c r="I244" i="6" s="1"/>
  <c r="I222" i="6" a="1"/>
  <c r="I222" i="6" s="1"/>
  <c r="I162" i="6" a="1"/>
  <c r="I162" i="6" s="1"/>
  <c r="I97" i="6" a="1"/>
  <c r="I97" i="6" s="1"/>
  <c r="I190" i="6" a="1"/>
  <c r="I190" i="6" s="1"/>
  <c r="I53" i="6" a="1"/>
  <c r="I53" i="6" s="1"/>
  <c r="I137" i="6" a="1"/>
  <c r="I137" i="6" s="1"/>
  <c r="I273" i="6" a="1"/>
  <c r="I273" i="6" s="1"/>
  <c r="I129" i="6" a="1"/>
  <c r="I129" i="6" s="1"/>
  <c r="I212" i="6" a="1"/>
  <c r="I212" i="6" s="1"/>
  <c r="I149" i="6" a="1"/>
  <c r="I149" i="6" s="1"/>
  <c r="I141" i="6" a="1"/>
  <c r="I141" i="6" s="1"/>
  <c r="I252" i="6" a="1"/>
  <c r="I252" i="6" s="1"/>
  <c r="I194" i="6" a="1"/>
  <c r="I194" i="6" s="1"/>
  <c r="I90" i="6" a="1"/>
  <c r="I90" i="6" s="1"/>
  <c r="I62" i="6" a="1"/>
  <c r="I62" i="6" s="1"/>
  <c r="I245" i="6" a="1"/>
  <c r="I245" i="6" s="1"/>
  <c r="I215" i="6" a="1"/>
  <c r="I215" i="6" s="1"/>
  <c r="I136" i="6" a="1"/>
  <c r="I136" i="6" s="1"/>
  <c r="I73" i="6" a="1"/>
  <c r="I73" i="6" s="1"/>
  <c r="I234" i="6" a="1"/>
  <c r="I234" i="6" s="1"/>
  <c r="I107" i="6" a="1"/>
  <c r="I107" i="6" s="1"/>
  <c r="I160" i="6" a="1"/>
  <c r="I160" i="6" s="1"/>
  <c r="I167" i="6" a="1"/>
  <c r="I167" i="6" s="1"/>
  <c r="I124" i="6" a="1"/>
  <c r="I124" i="6" s="1"/>
  <c r="I55" i="6" a="1"/>
  <c r="I55" i="6" s="1"/>
  <c r="I134" i="6" a="1"/>
  <c r="I134" i="6" s="1"/>
  <c r="I78" i="6" a="1"/>
  <c r="I78" i="6" s="1"/>
  <c r="I246" i="6" a="1"/>
  <c r="I246" i="6" s="1"/>
  <c r="I72" i="6" a="1"/>
  <c r="I72" i="6" s="1"/>
  <c r="I68" i="6" a="1"/>
  <c r="I68" i="6" s="1"/>
  <c r="I186" i="6" a="1"/>
  <c r="I186" i="6" s="1"/>
  <c r="I112" i="6" a="1"/>
  <c r="I112" i="6" s="1"/>
  <c r="I89" i="6" a="1"/>
  <c r="I89" i="6" s="1"/>
  <c r="I174" i="6" a="1"/>
  <c r="I174" i="6" s="1"/>
  <c r="I223" i="6" a="1"/>
  <c r="I223" i="6" s="1"/>
  <c r="I6" i="6" a="1"/>
  <c r="I6" i="6" s="1"/>
  <c r="I105" i="6" a="1"/>
  <c r="I105" i="6" s="1"/>
  <c r="I111" i="6" a="1"/>
  <c r="I111" i="6" s="1"/>
  <c r="I156" i="6" a="1"/>
  <c r="I156" i="6" s="1"/>
  <c r="I75" i="6" a="1"/>
  <c r="I75" i="6" s="1"/>
  <c r="I99" i="6" a="1"/>
  <c r="I99" i="6" s="1"/>
  <c r="I67" i="6" a="1"/>
  <c r="I67" i="6" s="1"/>
  <c r="I163" i="6" a="1"/>
  <c r="I163" i="6" s="1"/>
  <c r="I140" i="6" a="1"/>
  <c r="I140" i="6" s="1"/>
  <c r="I94" i="6" a="1"/>
  <c r="I94" i="6" s="1"/>
  <c r="I126" i="6" a="1"/>
  <c r="I126" i="6" s="1"/>
  <c r="I208" i="6" a="1"/>
  <c r="I208" i="6" s="1"/>
  <c r="I229" i="6" a="1"/>
  <c r="I229" i="6" s="1"/>
  <c r="I191" i="6" a="1"/>
  <c r="I191" i="6" s="1"/>
  <c r="I187" i="6" a="1"/>
  <c r="I187" i="6" s="1"/>
  <c r="I227" i="6" a="1"/>
  <c r="I227" i="6" s="1"/>
  <c r="I250" i="6" a="1"/>
  <c r="I250" i="6" s="1"/>
  <c r="I206" i="6" a="1"/>
  <c r="I206" i="6" s="1"/>
  <c r="I259" i="6" a="1"/>
  <c r="I259" i="6" s="1"/>
  <c r="I60" i="6" a="1"/>
  <c r="I60" i="6" s="1"/>
  <c r="I210" i="6" a="1"/>
  <c r="I210" i="6" s="1"/>
  <c r="I117" i="6" a="1"/>
  <c r="I117" i="6" s="1"/>
  <c r="I188" i="6" a="1"/>
  <c r="I188" i="6" s="1"/>
  <c r="I81" i="6" a="1"/>
  <c r="I81" i="6" s="1"/>
  <c r="I214" i="6" a="1"/>
  <c r="I214" i="6" s="1"/>
  <c r="I142" i="6" a="1"/>
  <c r="I142" i="6" s="1"/>
  <c r="I121" i="6" a="1"/>
  <c r="I121" i="6" s="1"/>
  <c r="I131" i="6" a="1"/>
  <c r="I131" i="6" s="1"/>
  <c r="I170" i="6" a="1"/>
  <c r="I170" i="6" s="1"/>
  <c r="I127" i="6" a="1"/>
  <c r="I127" i="6" s="1"/>
  <c r="I86" i="6" a="1"/>
  <c r="I86" i="6" s="1"/>
  <c r="I202" i="6" a="1"/>
  <c r="I202" i="6" s="1"/>
  <c r="I254" i="6" a="1"/>
  <c r="I254" i="6" s="1"/>
  <c r="I236" i="6" a="1"/>
  <c r="I236" i="6" s="1"/>
  <c r="I248" i="6" a="1"/>
  <c r="I248" i="6" s="1"/>
  <c r="I240" i="6" a="1"/>
  <c r="I240" i="6" s="1"/>
  <c r="I180" i="6" a="1"/>
  <c r="I180" i="6" s="1"/>
  <c r="I151" i="6" a="1"/>
  <c r="I151" i="6" s="1"/>
  <c r="I201" i="6" a="1"/>
  <c r="I201" i="6" s="1"/>
  <c r="I95" i="6" a="1"/>
  <c r="I95" i="6" s="1"/>
  <c r="I258" i="6" a="1"/>
  <c r="I258" i="6" s="1"/>
  <c r="I271" i="6" a="1"/>
  <c r="I271" i="6" s="1"/>
  <c r="I7" i="6" a="1"/>
  <c r="I7" i="6" s="1"/>
  <c r="I205" i="6" a="1"/>
  <c r="I205" i="6" s="1"/>
  <c r="I93" i="6" a="1"/>
  <c r="I93" i="6" s="1"/>
  <c r="I119" i="6" a="1"/>
  <c r="I119" i="6" s="1"/>
  <c r="I83" i="6" a="1"/>
  <c r="I83" i="6" s="1"/>
  <c r="I61" i="6" a="1"/>
  <c r="I61" i="6" s="1"/>
  <c r="I70" i="6" a="1"/>
  <c r="I70" i="6" s="1"/>
  <c r="I256" i="6" a="1"/>
  <c r="I256" i="6" s="1"/>
  <c r="I195" i="6" a="1"/>
  <c r="I195" i="6" s="1"/>
  <c r="I155" i="6" a="1"/>
  <c r="I155" i="6" s="1"/>
  <c r="I239" i="6" a="1"/>
  <c r="I239" i="6" s="1"/>
  <c r="I177" i="6" a="1"/>
  <c r="I177" i="6" s="1"/>
  <c r="I226" i="6" a="1"/>
  <c r="I226" i="6" s="1"/>
  <c r="I168" i="6" a="1"/>
  <c r="I168" i="6" s="1"/>
  <c r="I218" i="6" a="1"/>
  <c r="I218" i="6" s="1"/>
  <c r="I79" i="6" a="1"/>
  <c r="I79" i="6" s="1"/>
  <c r="I116" i="6" a="1"/>
  <c r="I116" i="6" s="1"/>
  <c r="I221" i="6" a="1"/>
  <c r="I221" i="6" s="1"/>
  <c r="I120" i="6" a="1"/>
  <c r="I120" i="6" s="1"/>
  <c r="I173" i="6" a="1"/>
  <c r="I173" i="6" s="1"/>
  <c r="I133" i="6" a="1"/>
  <c r="I133" i="6" s="1"/>
  <c r="I241" i="6" a="1"/>
  <c r="I241" i="6" s="1"/>
  <c r="I96" i="6" a="1"/>
  <c r="I96" i="6" s="1"/>
  <c r="I265" i="6" a="1"/>
  <c r="I265" i="6" s="1"/>
  <c r="I267" i="6" a="1"/>
  <c r="I267" i="6" s="1"/>
  <c r="I165" i="6" a="1"/>
  <c r="I165" i="6" s="1"/>
  <c r="I219" i="6" a="1"/>
  <c r="I219" i="6" s="1"/>
  <c r="I269" i="6" a="1"/>
  <c r="I269" i="6" s="1"/>
  <c r="I113" i="6" a="1"/>
  <c r="I113" i="6" s="1"/>
  <c r="I200" i="6" a="1"/>
  <c r="I200" i="6" s="1"/>
  <c r="I184" i="6" a="1"/>
  <c r="I184" i="6" s="1"/>
  <c r="I118" i="6" a="1"/>
  <c r="I118" i="6" s="1"/>
  <c r="I266" i="6" a="1"/>
  <c r="I266" i="6" s="1"/>
  <c r="I247" i="6" a="1"/>
  <c r="I247" i="6" s="1"/>
  <c r="I159" i="6" a="1"/>
  <c r="I159" i="6" s="1"/>
  <c r="I87" i="6" a="1"/>
  <c r="I87" i="6" s="1"/>
  <c r="I92" i="6" a="1"/>
  <c r="I92" i="6" s="1"/>
  <c r="I91" i="6" a="1"/>
  <c r="I91" i="6" s="1"/>
  <c r="I58" i="6" a="1"/>
  <c r="I58" i="6" s="1"/>
  <c r="I182" i="6" a="1"/>
  <c r="I182" i="6" s="1"/>
  <c r="I185" i="6" a="1"/>
  <c r="I185" i="6" s="1"/>
  <c r="I88" i="6" a="1"/>
  <c r="I88" i="6" s="1"/>
  <c r="I211" i="6" a="1"/>
  <c r="I211" i="6" s="1"/>
  <c r="I204" i="6" a="1"/>
  <c r="I204" i="6" s="1"/>
  <c r="I148" i="6" a="1"/>
  <c r="I148" i="6" s="1"/>
  <c r="I66" i="6" a="1"/>
  <c r="I66" i="6" s="1"/>
  <c r="I225" i="6" a="1"/>
  <c r="I225" i="6" s="1"/>
  <c r="I272" i="6" a="1"/>
  <c r="I272" i="6" s="1"/>
  <c r="I216" i="6" a="1"/>
  <c r="I216" i="6" s="1"/>
  <c r="I114" i="6" a="1"/>
  <c r="I114" i="6" s="1"/>
  <c r="I109" i="6" a="1"/>
  <c r="I109" i="6" s="1"/>
  <c r="I154" i="6" a="1"/>
  <c r="I154" i="6" s="1"/>
  <c r="I261" i="6" a="1"/>
  <c r="I261" i="6" s="1"/>
  <c r="I157" i="6" a="1"/>
  <c r="I157" i="6" s="1"/>
  <c r="I71" i="6" a="1"/>
  <c r="I71" i="6" s="1"/>
  <c r="I171" i="6" a="1"/>
  <c r="I171" i="6" s="1"/>
  <c r="I98" i="6" a="1"/>
  <c r="I98" i="6" s="1"/>
  <c r="I197" i="6" a="1"/>
  <c r="I197" i="6" s="1"/>
  <c r="I106" i="6" a="1"/>
  <c r="I106" i="6" s="1"/>
  <c r="I224" i="6" a="1"/>
  <c r="I224" i="6" s="1"/>
  <c r="I128" i="6" a="1"/>
  <c r="I128" i="6" s="1"/>
  <c r="I207" i="6" a="1"/>
  <c r="I207" i="6" s="1"/>
  <c r="I123" i="6" a="1"/>
  <c r="I123" i="6" s="1"/>
  <c r="I132" i="6" a="1"/>
  <c r="I132" i="6" s="1"/>
  <c r="I101" i="6" a="1"/>
  <c r="I101" i="6" s="1"/>
  <c r="I147" i="6" a="1"/>
  <c r="I147" i="6" s="1"/>
  <c r="I213" i="6" a="1"/>
  <c r="I213" i="6" s="1"/>
  <c r="I193" i="6" a="1"/>
  <c r="I193" i="6" s="1"/>
  <c r="I260" i="6" a="1"/>
  <c r="I260" i="6" s="1"/>
  <c r="I276" i="6" a="1"/>
  <c r="I276" i="6" s="1"/>
  <c r="I176" i="6" a="1"/>
  <c r="I176" i="6" s="1"/>
  <c r="I145" i="6" a="1"/>
  <c r="I145" i="6" s="1"/>
  <c r="I115" i="6" a="1"/>
  <c r="I115" i="6" s="1"/>
  <c r="I57" i="6" a="1"/>
  <c r="I57" i="6" s="1"/>
  <c r="I56" i="6" a="1"/>
  <c r="I56" i="6" s="1"/>
  <c r="I59" i="6" a="1"/>
  <c r="I59" i="6" s="1"/>
  <c r="I130" i="6" a="1"/>
  <c r="I130" i="6" s="1"/>
  <c r="I138" i="6" a="1"/>
  <c r="I138" i="6" s="1"/>
  <c r="I125" i="6" a="1"/>
  <c r="I125" i="6" s="1"/>
  <c r="I76" i="6" a="1"/>
  <c r="I76" i="6" s="1"/>
  <c r="I178" i="6" a="1"/>
  <c r="I178" i="6" s="1"/>
  <c r="I189" i="6" a="1"/>
  <c r="I189" i="6" s="1"/>
  <c r="I102" i="6" a="1"/>
  <c r="I102" i="6" s="1"/>
  <c r="I85" i="6" a="1"/>
  <c r="I85" i="6" s="1"/>
  <c r="I179" i="6" a="1"/>
  <c r="I179" i="6" s="1"/>
  <c r="I110" i="6" a="1"/>
  <c r="I110" i="6" s="1"/>
  <c r="I203" i="6" a="1"/>
  <c r="I203" i="6" s="1"/>
  <c r="I228" i="6" a="1"/>
  <c r="I228" i="6" s="1"/>
  <c r="I175" i="6" a="1"/>
  <c r="I175" i="6" s="1"/>
  <c r="I196" i="6" a="1"/>
  <c r="I196" i="6" s="1"/>
  <c r="I150" i="6" a="1"/>
  <c r="I150" i="6" s="1"/>
  <c r="I235" i="6" a="1"/>
  <c r="I235" i="6" s="1"/>
  <c r="I275" i="6" a="1"/>
  <c r="I275" i="6" s="1"/>
  <c r="I152" i="6" a="1"/>
  <c r="I152" i="6" s="1"/>
  <c r="I232" i="6" a="1"/>
  <c r="I232" i="6" s="1"/>
  <c r="I181" i="6" a="1"/>
  <c r="I181" i="6" s="1"/>
  <c r="I80" i="6" a="1"/>
  <c r="I80" i="6" s="1"/>
  <c r="E7" i="8"/>
  <c r="E8" i="8"/>
  <c r="E6" i="8"/>
  <c r="E3" i="8"/>
  <c r="E4" i="8"/>
  <c r="E5" i="8"/>
  <c r="E2" i="8"/>
  <c r="F179" i="1" l="1" a="1"/>
  <c r="F179" i="1" s="1"/>
  <c r="F85" i="1" a="1"/>
  <c r="F85" i="1" s="1"/>
  <c r="F1255" i="1" a="1"/>
  <c r="F1255" i="1" s="1"/>
  <c r="F1017" i="1" a="1"/>
  <c r="F1017" i="1" s="1"/>
  <c r="F696" i="1" a="1"/>
  <c r="F696" i="1" s="1"/>
  <c r="F25" i="1" a="1"/>
  <c r="F25" i="1" s="1"/>
  <c r="F676" i="1" a="1"/>
  <c r="F676" i="1" s="1"/>
  <c r="F432" i="1" a="1"/>
  <c r="F432" i="1" s="1"/>
  <c r="F700" i="1" a="1"/>
  <c r="F700" i="1" s="1"/>
  <c r="F1039" i="1" a="1"/>
  <c r="F1039" i="1" s="1"/>
  <c r="F1344" i="1" a="1"/>
  <c r="F1344" i="1" s="1"/>
  <c r="F635" i="1" a="1"/>
  <c r="F635" i="1" s="1"/>
  <c r="F837" i="1" a="1"/>
  <c r="F837" i="1" s="1"/>
  <c r="F748" i="1" a="1"/>
  <c r="F748" i="1" s="1"/>
  <c r="F885" i="1" a="1"/>
  <c r="F885" i="1" s="1"/>
  <c r="F1164" i="1" a="1"/>
  <c r="F1164" i="1" s="1"/>
  <c r="F588" i="1" a="1"/>
  <c r="F588" i="1" s="1"/>
  <c r="F304" i="1" a="1"/>
  <c r="F304" i="1" s="1"/>
  <c r="F496" i="1" a="1"/>
  <c r="F496" i="1" s="1"/>
  <c r="F312" i="1" a="1"/>
  <c r="F312" i="1" s="1"/>
  <c r="F164" i="1" a="1"/>
  <c r="F164" i="1" s="1"/>
  <c r="F1304" i="1" a="1"/>
  <c r="F1304" i="1" s="1"/>
  <c r="F1338" i="1" a="1"/>
  <c r="F1338" i="1" s="1"/>
  <c r="F570" i="1" a="1"/>
  <c r="F570" i="1" s="1"/>
  <c r="F1089" i="1" a="1"/>
  <c r="F1089" i="1" s="1"/>
  <c r="F434" i="1" a="1"/>
  <c r="F434" i="1" s="1"/>
  <c r="F708" i="1" a="1"/>
  <c r="F708" i="1" s="1"/>
  <c r="F378" i="1" a="1"/>
  <c r="F378" i="1" s="1"/>
  <c r="F71" i="1" a="1"/>
  <c r="F71" i="1" s="1"/>
  <c r="F450" i="1" a="1"/>
  <c r="F450" i="1" s="1"/>
  <c r="F429" i="1" a="1"/>
  <c r="F429" i="1" s="1"/>
  <c r="F633" i="1" a="1"/>
  <c r="F633" i="1" s="1"/>
  <c r="F316" i="1" a="1"/>
  <c r="F316" i="1" s="1"/>
  <c r="F449" i="1" a="1"/>
  <c r="F449" i="1" s="1"/>
  <c r="F201" i="1" a="1"/>
  <c r="F201" i="1" s="1"/>
  <c r="F1217" i="1" a="1"/>
  <c r="F1217" i="1" s="1"/>
  <c r="F850" i="1" a="1"/>
  <c r="F850" i="1" s="1"/>
  <c r="F703" i="1" a="1"/>
  <c r="F703" i="1" s="1"/>
  <c r="F1189" i="1" a="1"/>
  <c r="F1189" i="1" s="1"/>
  <c r="F695" i="1" a="1"/>
  <c r="F695" i="1" s="1"/>
  <c r="F1051" i="1" a="1"/>
  <c r="F1051" i="1" s="1"/>
  <c r="F640" i="1" a="1"/>
  <c r="F640" i="1" s="1"/>
  <c r="F1001" i="1" a="1"/>
  <c r="F1001" i="1" s="1"/>
  <c r="F271" i="1" a="1"/>
  <c r="F271" i="1" s="1"/>
  <c r="F660" i="1" a="1"/>
  <c r="F660" i="1" s="1"/>
  <c r="F914" i="1" a="1"/>
  <c r="F914" i="1" s="1"/>
  <c r="F719" i="1" a="1"/>
  <c r="F719" i="1" s="1"/>
  <c r="F901" i="1" a="1"/>
  <c r="F901" i="1" s="1"/>
  <c r="F176" i="1" a="1"/>
  <c r="F176" i="1" s="1"/>
  <c r="F557" i="1" a="1"/>
  <c r="F557" i="1" s="1"/>
  <c r="F463" i="1" a="1"/>
  <c r="F463" i="1" s="1"/>
  <c r="F1279" i="1" a="1"/>
  <c r="F1279" i="1" s="1"/>
  <c r="F1125" i="1" a="1"/>
  <c r="F1125" i="1" s="1"/>
  <c r="F753" i="1" a="1"/>
  <c r="F753" i="1" s="1"/>
  <c r="F456" i="1" a="1"/>
  <c r="F456" i="1" s="1"/>
  <c r="F919" i="1" a="1"/>
  <c r="F919" i="1" s="1"/>
  <c r="F1303" i="1" a="1"/>
  <c r="F1303" i="1" s="1"/>
  <c r="F73" i="1" a="1"/>
  <c r="F73" i="1" s="1"/>
  <c r="F888" i="1" a="1"/>
  <c r="F888" i="1" s="1"/>
  <c r="F320" i="1" a="1"/>
  <c r="F320" i="1" s="1"/>
  <c r="F464" i="1" a="1"/>
  <c r="F464" i="1" s="1"/>
  <c r="F457" i="1" a="1"/>
  <c r="F457" i="1" s="1"/>
  <c r="F26" i="1" a="1"/>
  <c r="F26" i="1" s="1"/>
  <c r="F931" i="1" a="1"/>
  <c r="F931" i="1" s="1"/>
  <c r="F277" i="1" a="1"/>
  <c r="F277" i="1" s="1"/>
  <c r="F704" i="1" a="1"/>
  <c r="F704" i="1" s="1"/>
  <c r="F905" i="1" a="1"/>
  <c r="F905" i="1" s="1"/>
  <c r="F772" i="1" a="1"/>
  <c r="F772" i="1" s="1"/>
  <c r="F202" i="1" a="1"/>
  <c r="F202" i="1" s="1"/>
  <c r="F1218" i="1" a="1"/>
  <c r="F1218" i="1" s="1"/>
  <c r="F1165" i="1" a="1"/>
  <c r="F1165" i="1" s="1"/>
  <c r="F886" i="1" a="1"/>
  <c r="F886" i="1" s="1"/>
  <c r="F589" i="1" a="1"/>
  <c r="F589" i="1" s="1"/>
  <c r="F750" i="1" a="1"/>
  <c r="F750" i="1" s="1"/>
  <c r="F585" i="1" a="1"/>
  <c r="F585" i="1" s="1"/>
  <c r="F1170" i="1" a="1"/>
  <c r="F1170" i="1" s="1"/>
  <c r="F516" i="1" a="1"/>
  <c r="F516" i="1" s="1"/>
  <c r="F174" i="1" a="1"/>
  <c r="F174" i="1" s="1"/>
  <c r="F513" i="1" a="1"/>
  <c r="F513" i="1" s="1"/>
  <c r="F1134" i="1" a="1"/>
  <c r="F1134" i="1" s="1"/>
  <c r="F130" i="1" a="1"/>
  <c r="F130" i="1" s="1"/>
  <c r="F918" i="1" a="1"/>
  <c r="F918" i="1" s="1"/>
  <c r="F658" i="1" a="1"/>
  <c r="F658" i="1" s="1"/>
  <c r="F928" i="1" a="1"/>
  <c r="F928" i="1" s="1"/>
  <c r="F571" i="1" a="1"/>
  <c r="F571" i="1" s="1"/>
  <c r="F1090" i="1" a="1"/>
  <c r="F1090" i="1" s="1"/>
  <c r="F435" i="1" a="1"/>
  <c r="F435" i="1" s="1"/>
  <c r="F46" i="1" a="1"/>
  <c r="F46" i="1" s="1"/>
  <c r="F614" i="1" a="1"/>
  <c r="F614" i="1" s="1"/>
  <c r="F102" i="1" a="1"/>
  <c r="F102" i="1" s="1"/>
  <c r="F1047" i="1" a="1"/>
  <c r="F1047" i="1" s="1"/>
  <c r="F1353" i="1" a="1"/>
  <c r="F1353" i="1" s="1"/>
  <c r="F966" i="1" a="1"/>
  <c r="F966" i="1" s="1"/>
  <c r="F1234" i="1" a="1"/>
  <c r="F1234" i="1" s="1"/>
  <c r="F1280" i="1" a="1"/>
  <c r="F1280" i="1" s="1"/>
  <c r="F501" i="1" a="1"/>
  <c r="F501" i="1" s="1"/>
  <c r="F1214" i="1" a="1"/>
  <c r="F1214" i="1" s="1"/>
  <c r="F899" i="1" a="1"/>
  <c r="F899" i="1" s="1"/>
  <c r="F290" i="1" a="1"/>
  <c r="F290" i="1" s="1"/>
  <c r="F968" i="1" a="1"/>
  <c r="F968" i="1" s="1"/>
  <c r="F1341" i="1" a="1"/>
  <c r="F1341" i="1" s="1"/>
  <c r="F1267" i="1" a="1"/>
  <c r="F1267" i="1" s="1"/>
  <c r="F879" i="1" a="1"/>
  <c r="F879" i="1" s="1"/>
  <c r="F1101" i="1" a="1"/>
  <c r="F1101" i="1" s="1"/>
  <c r="F733" i="1" a="1"/>
  <c r="F733" i="1" s="1"/>
  <c r="F593" i="1" a="1"/>
  <c r="F593" i="1" s="1"/>
  <c r="F266" i="1" a="1"/>
  <c r="F266" i="1" s="1"/>
  <c r="F519" i="1" a="1"/>
  <c r="F519" i="1" s="1"/>
  <c r="F741" i="1" a="1"/>
  <c r="F741" i="1" s="1"/>
  <c r="F1295" i="1" a="1"/>
  <c r="F1295" i="1" s="1"/>
  <c r="F789" i="1" a="1"/>
  <c r="F789" i="1" s="1"/>
  <c r="F1011" i="1" a="1"/>
  <c r="F1011" i="1" s="1"/>
  <c r="F554" i="1" a="1"/>
  <c r="F554" i="1" s="1"/>
  <c r="F555" i="1" a="1"/>
  <c r="F555" i="1" s="1"/>
  <c r="F745" i="1" a="1"/>
  <c r="F745" i="1" s="1"/>
  <c r="F360" i="1" a="1"/>
  <c r="F360" i="1" s="1"/>
  <c r="F1163" i="1" a="1"/>
  <c r="F1163" i="1" s="1"/>
  <c r="F39" i="1" a="1"/>
  <c r="F39" i="1" s="1"/>
  <c r="F156" i="1" a="1"/>
  <c r="F156" i="1" s="1"/>
  <c r="F224" i="1" a="1"/>
  <c r="F224" i="1" s="1"/>
  <c r="F382" i="1" a="1"/>
  <c r="F382" i="1" s="1"/>
  <c r="F67" i="1" a="1"/>
  <c r="F67" i="1" s="1"/>
  <c r="F916" i="1" a="1"/>
  <c r="F916" i="1" s="1"/>
  <c r="F651" i="1" a="1"/>
  <c r="F651" i="1" s="1"/>
  <c r="F666" i="1" a="1"/>
  <c r="F666" i="1" s="1"/>
  <c r="F1215" i="1" a="1"/>
  <c r="F1215" i="1" s="1"/>
  <c r="F742" i="1" a="1"/>
  <c r="F742" i="1" s="1"/>
  <c r="F521" i="1" a="1"/>
  <c r="F521" i="1" s="1"/>
  <c r="F189" i="1" a="1"/>
  <c r="F189" i="1" s="1"/>
  <c r="F268" i="1" a="1"/>
  <c r="F268" i="1" s="1"/>
  <c r="F637" i="1" a="1"/>
  <c r="F637" i="1" s="1"/>
  <c r="F876" i="1" a="1"/>
  <c r="F876" i="1" s="1"/>
  <c r="F185" i="1" a="1"/>
  <c r="F185" i="1" s="1"/>
  <c r="F920" i="1" a="1"/>
  <c r="F920" i="1" s="1"/>
  <c r="F1281" i="1" a="1"/>
  <c r="F1281" i="1" s="1"/>
  <c r="F1024" i="1" a="1"/>
  <c r="F1024" i="1" s="1"/>
  <c r="F149" i="1" a="1"/>
  <c r="F149" i="1" s="1"/>
  <c r="F1105" i="1" a="1"/>
  <c r="F1105" i="1" s="1"/>
  <c r="F343" i="1" a="1"/>
  <c r="F343" i="1" s="1"/>
  <c r="F313" i="1" a="1"/>
  <c r="F313" i="1" s="1"/>
  <c r="F211" i="1" a="1"/>
  <c r="F211" i="1" s="1"/>
  <c r="F929" i="1" a="1"/>
  <c r="F929" i="1" s="1"/>
  <c r="F535" i="1" a="1"/>
  <c r="F535" i="1" s="1"/>
  <c r="F1252" i="1" a="1"/>
  <c r="F1252" i="1" s="1"/>
  <c r="F121" i="1" a="1"/>
  <c r="F121" i="1" s="1"/>
  <c r="F921" i="1" a="1"/>
  <c r="F921" i="1" s="1"/>
  <c r="F170" i="1" a="1"/>
  <c r="F170" i="1" s="1"/>
  <c r="F826" i="1" a="1"/>
  <c r="F826" i="1" s="1"/>
  <c r="F490" i="1" a="1"/>
  <c r="F490" i="1" s="1"/>
  <c r="F105" i="1" a="1"/>
  <c r="F105" i="1" s="1"/>
  <c r="F689" i="1" a="1"/>
  <c r="F689" i="1" s="1"/>
  <c r="F1086" i="1" a="1"/>
  <c r="F1086" i="1" s="1"/>
  <c r="F1210" i="1" a="1"/>
  <c r="F1210" i="1" s="1"/>
  <c r="F1357" i="1" a="1"/>
  <c r="F1357" i="1" s="1"/>
  <c r="F255" i="1" a="1"/>
  <c r="F255" i="1" s="1"/>
  <c r="F671" i="1" a="1"/>
  <c r="F671" i="1" s="1"/>
  <c r="F1104" i="1" a="1"/>
  <c r="F1104" i="1" s="1"/>
  <c r="F104" i="1" a="1"/>
  <c r="F104" i="1" s="1"/>
  <c r="F1106" i="1" a="1"/>
  <c r="F1106" i="1" s="1"/>
  <c r="F387" i="1" a="1"/>
  <c r="F387" i="1" s="1"/>
  <c r="F282" i="1" a="1"/>
  <c r="F282" i="1" s="1"/>
  <c r="F1312" i="1" a="1"/>
  <c r="F1312" i="1" s="1"/>
  <c r="F5" i="1" a="1"/>
  <c r="F5" i="1" s="1"/>
  <c r="F417" i="1" a="1"/>
  <c r="F417" i="1" s="1"/>
  <c r="F140" i="1" a="1"/>
  <c r="F140" i="1" s="1"/>
  <c r="F97" i="1" a="1"/>
  <c r="F97" i="1" s="1"/>
  <c r="F973" i="1" a="1"/>
  <c r="F973" i="1" s="1"/>
  <c r="F1075" i="1" a="1"/>
  <c r="F1075" i="1" s="1"/>
  <c r="F460" i="1" a="1"/>
  <c r="F460" i="1" s="1"/>
  <c r="F960" i="1" a="1"/>
  <c r="F960" i="1" s="1"/>
  <c r="F169" i="1" a="1"/>
  <c r="F169" i="1" s="1"/>
  <c r="F1009" i="1" a="1"/>
  <c r="F1009" i="1" s="1"/>
  <c r="F1345" i="1" a="1"/>
  <c r="F1345" i="1" s="1"/>
  <c r="F184" i="1" a="1"/>
  <c r="F184" i="1" s="1"/>
  <c r="F1232" i="1" a="1"/>
  <c r="F1232" i="1" s="1"/>
  <c r="F587" i="1" a="1"/>
  <c r="F587" i="1" s="1"/>
  <c r="F1193" i="1" a="1"/>
  <c r="F1193" i="1" s="1"/>
  <c r="F1071" i="1" a="1"/>
  <c r="F1071" i="1" s="1"/>
  <c r="F168" i="1" a="1"/>
  <c r="F168" i="1" s="1"/>
  <c r="F875" i="1" a="1"/>
  <c r="F875" i="1" s="1"/>
  <c r="F709" i="1" a="1"/>
  <c r="F709" i="1" s="1"/>
  <c r="F534" i="1" a="1"/>
  <c r="F534" i="1" s="1"/>
  <c r="F524" i="1" a="1"/>
  <c r="F524" i="1" s="1"/>
  <c r="F36" i="1" a="1"/>
  <c r="F36" i="1" s="1"/>
  <c r="F1199" i="1" a="1"/>
  <c r="F1199" i="1" s="1"/>
  <c r="F139" i="1" a="1"/>
  <c r="F139" i="1" s="1"/>
  <c r="F1140" i="1" a="1"/>
  <c r="F1140" i="1" s="1"/>
  <c r="F203" i="1" a="1"/>
  <c r="F203" i="1" s="1"/>
  <c r="F515" i="1" a="1"/>
  <c r="F515" i="1" s="1"/>
  <c r="F626" i="1" a="1"/>
  <c r="F626" i="1" s="1"/>
  <c r="F297" i="1" a="1"/>
  <c r="F297" i="1" s="1"/>
  <c r="F1369" i="1" a="1"/>
  <c r="F1369" i="1" s="1"/>
  <c r="F1366" i="1" a="1"/>
  <c r="F1366" i="1" s="1"/>
  <c r="F158" i="1" a="1"/>
  <c r="F158" i="1" s="1"/>
  <c r="F188" i="1" a="1"/>
  <c r="F188" i="1" s="1"/>
  <c r="F760" i="1" a="1"/>
  <c r="F760" i="1" s="1"/>
  <c r="F366" i="1" a="1"/>
  <c r="F366" i="1" s="1"/>
  <c r="F773" i="1" a="1"/>
  <c r="F773" i="1" s="1"/>
  <c r="F763" i="1" a="1"/>
  <c r="F763" i="1" s="1"/>
  <c r="F317" i="1" a="1"/>
  <c r="F317" i="1" s="1"/>
  <c r="F1323" i="1" a="1"/>
  <c r="F1323" i="1" s="1"/>
  <c r="F94" i="1" a="1"/>
  <c r="F94" i="1" s="1"/>
  <c r="F1269" i="1" a="1"/>
  <c r="F1269" i="1" s="1"/>
  <c r="F151" i="1" a="1"/>
  <c r="F151" i="1" s="1"/>
  <c r="F6" i="1" a="1"/>
  <c r="F6" i="1" s="1"/>
  <c r="F1339" i="1" a="1"/>
  <c r="F1339" i="1" s="1"/>
  <c r="F1336" i="1" a="1"/>
  <c r="F1336" i="1" s="1"/>
  <c r="F76" i="1" a="1"/>
  <c r="F76" i="1" s="1"/>
  <c r="F548" i="1" a="1"/>
  <c r="F548" i="1" s="1"/>
  <c r="F1081" i="1" a="1"/>
  <c r="F1081" i="1" s="1"/>
  <c r="F261" i="1" a="1"/>
  <c r="F261" i="1" s="1"/>
  <c r="F350" i="1" a="1"/>
  <c r="F350" i="1" s="1"/>
  <c r="F177" i="1" a="1"/>
  <c r="F177" i="1" s="1"/>
  <c r="F197" i="1" a="1"/>
  <c r="F197" i="1" s="1"/>
  <c r="F488" i="1" a="1"/>
  <c r="F488" i="1" s="1"/>
  <c r="F877" i="1" a="1"/>
  <c r="F877" i="1" s="1"/>
  <c r="F391" i="1" a="1"/>
  <c r="F391" i="1" s="1"/>
  <c r="F81" i="1" a="1"/>
  <c r="F81" i="1" s="1"/>
  <c r="F1036" i="1" a="1"/>
  <c r="F1036" i="1" s="1"/>
  <c r="F324" i="1" a="1"/>
  <c r="F324" i="1" s="1"/>
  <c r="F426" i="1" a="1"/>
  <c r="F426" i="1" s="1"/>
  <c r="F788" i="1" a="1"/>
  <c r="F788" i="1" s="1"/>
  <c r="F811" i="1" a="1"/>
  <c r="F811" i="1" s="1"/>
  <c r="F1088" i="1" a="1"/>
  <c r="F1088" i="1" s="1"/>
  <c r="F998" i="1" a="1"/>
  <c r="F998" i="1" s="1"/>
  <c r="F758" i="1" a="1"/>
  <c r="F758" i="1" s="1"/>
  <c r="F969" i="1" a="1"/>
  <c r="F969" i="1" s="1"/>
  <c r="F926" i="1" a="1"/>
  <c r="F926" i="1" s="1"/>
  <c r="F1141" i="1" a="1"/>
  <c r="F1141" i="1" s="1"/>
  <c r="F182" i="1" a="1"/>
  <c r="F182" i="1" s="1"/>
  <c r="F287" i="1" a="1"/>
  <c r="F287" i="1" s="1"/>
  <c r="F59" i="1" a="1"/>
  <c r="F59" i="1" s="1"/>
  <c r="F790" i="1" a="1"/>
  <c r="F790" i="1" s="1"/>
  <c r="F1276" i="1" a="1"/>
  <c r="F1276" i="1" s="1"/>
  <c r="F687" i="1" a="1"/>
  <c r="F687" i="1" s="1"/>
  <c r="F1087" i="1" a="1"/>
  <c r="F1087" i="1" s="1"/>
  <c r="F1080" i="1" a="1"/>
  <c r="F1080" i="1" s="1"/>
  <c r="F69" i="1" a="1"/>
  <c r="F69" i="1" s="1"/>
  <c r="F532" i="1" a="1"/>
  <c r="F532" i="1" s="1"/>
  <c r="F959" i="1" a="1"/>
  <c r="F959" i="1" s="1"/>
  <c r="F461" i="1" a="1"/>
  <c r="F461" i="1" s="1"/>
  <c r="F484" i="1" a="1"/>
  <c r="F484" i="1" s="1"/>
  <c r="F11" i="1" a="1"/>
  <c r="F11" i="1" s="1"/>
  <c r="F824" i="1" a="1"/>
  <c r="F824" i="1" s="1"/>
  <c r="F365" i="1" a="1"/>
  <c r="F365" i="1" s="1"/>
  <c r="F806" i="1" a="1"/>
  <c r="F806" i="1" s="1"/>
  <c r="F706" i="1" a="1"/>
  <c r="F706" i="1" s="1"/>
  <c r="F1179" i="1" a="1"/>
  <c r="F1179" i="1" s="1"/>
  <c r="F1015" i="1" a="1"/>
  <c r="F1015" i="1" s="1"/>
  <c r="F1213" i="1" a="1"/>
  <c r="F1213" i="1" s="1"/>
  <c r="F677" i="1" a="1"/>
  <c r="F677" i="1" s="1"/>
  <c r="F285" i="1" a="1"/>
  <c r="F285" i="1" s="1"/>
  <c r="F1206" i="1" a="1"/>
  <c r="F1206" i="1" s="1"/>
  <c r="F476" i="1" a="1"/>
  <c r="F476" i="1" s="1"/>
  <c r="F594" i="1" a="1"/>
  <c r="F594" i="1" s="1"/>
  <c r="F988" i="1" a="1"/>
  <c r="F988" i="1" s="1"/>
  <c r="F239" i="1" a="1"/>
  <c r="F239" i="1" s="1"/>
  <c r="F31" i="1" a="1"/>
  <c r="F31" i="1" s="1"/>
  <c r="F167" i="1" a="1"/>
  <c r="F167" i="1" s="1"/>
  <c r="F908" i="1" a="1"/>
  <c r="F908" i="1" s="1"/>
  <c r="F193" i="1" a="1"/>
  <c r="F193" i="1" s="1"/>
  <c r="F344" i="1" a="1"/>
  <c r="F344" i="1" s="1"/>
  <c r="F781" i="1" a="1"/>
  <c r="F781" i="1" s="1"/>
  <c r="F813" i="1" a="1"/>
  <c r="F813" i="1" s="1"/>
  <c r="F705" i="1" a="1"/>
  <c r="F705" i="1" s="1"/>
  <c r="F562" i="1" a="1"/>
  <c r="F562" i="1" s="1"/>
  <c r="F1256" i="1" a="1"/>
  <c r="F1256" i="1" s="1"/>
  <c r="F145" i="1" a="1"/>
  <c r="F145" i="1" s="1"/>
  <c r="F1006" i="1" a="1"/>
  <c r="F1006" i="1" s="1"/>
  <c r="F574" i="1" a="1"/>
  <c r="F574" i="1" s="1"/>
  <c r="F1150" i="1" a="1"/>
  <c r="F1150" i="1" s="1"/>
  <c r="F1100" i="1" a="1"/>
  <c r="F1100" i="1" s="1"/>
  <c r="F1023" i="1" a="1"/>
  <c r="F1023" i="1" s="1"/>
  <c r="F1109" i="1" a="1"/>
  <c r="F1109" i="1" s="1"/>
  <c r="F1212" i="1" a="1"/>
  <c r="F1212" i="1" s="1"/>
  <c r="F827" i="1" a="1"/>
  <c r="F827" i="1" s="1"/>
  <c r="F883" i="1" a="1"/>
  <c r="F883" i="1" s="1"/>
  <c r="F913" i="1" a="1"/>
  <c r="F913" i="1" s="1"/>
  <c r="F823" i="1" a="1"/>
  <c r="F823" i="1" s="1"/>
  <c r="F364" i="1" a="1"/>
  <c r="F364" i="1" s="1"/>
  <c r="F778" i="1" a="1"/>
  <c r="F778" i="1" s="1"/>
  <c r="F1030" i="1" a="1"/>
  <c r="F1030" i="1" s="1"/>
  <c r="F1350" i="1" a="1"/>
  <c r="F1350" i="1" s="1"/>
  <c r="F911" i="1" a="1"/>
  <c r="F911" i="1" s="1"/>
  <c r="F657" i="1" a="1"/>
  <c r="F657" i="1" s="1"/>
  <c r="F143" i="1" a="1"/>
  <c r="F143" i="1" s="1"/>
  <c r="F1045" i="1" a="1"/>
  <c r="F1045" i="1" s="1"/>
  <c r="F610" i="1" a="1"/>
  <c r="F610" i="1" s="1"/>
  <c r="F801" i="1" a="1"/>
  <c r="F801" i="1" s="1"/>
  <c r="F96" i="1" a="1"/>
  <c r="F96" i="1" s="1"/>
  <c r="F1050" i="1" a="1"/>
  <c r="F1050" i="1" s="1"/>
  <c r="F680" i="1" a="1"/>
  <c r="F680" i="1" s="1"/>
  <c r="F932" i="1" a="1"/>
  <c r="F932" i="1" s="1"/>
  <c r="F371" i="1" a="1"/>
  <c r="F371" i="1" s="1"/>
  <c r="F356" i="1" a="1"/>
  <c r="F356" i="1" s="1"/>
  <c r="F1224" i="1" a="1"/>
  <c r="F1224" i="1" s="1"/>
  <c r="F1358" i="1" a="1"/>
  <c r="F1358" i="1" s="1"/>
  <c r="F293" i="1" a="1"/>
  <c r="F293" i="1" s="1"/>
  <c r="F1169" i="1" a="1"/>
  <c r="F1169" i="1" s="1"/>
  <c r="F425" i="1" a="1"/>
  <c r="F425" i="1" s="1"/>
  <c r="F1229" i="1" a="1"/>
  <c r="F1229" i="1" s="1"/>
  <c r="F986" i="1" a="1"/>
  <c r="F986" i="1" s="1"/>
  <c r="F348" i="1" a="1"/>
  <c r="F348" i="1" s="1"/>
  <c r="F1288" i="1" a="1"/>
  <c r="F1288" i="1" s="1"/>
  <c r="F618" i="1" a="1"/>
  <c r="F618" i="1" s="1"/>
  <c r="F605" i="1" a="1"/>
  <c r="F605" i="1" s="1"/>
  <c r="F30" i="1" a="1"/>
  <c r="F30" i="1" s="1"/>
  <c r="F340" i="1" a="1"/>
  <c r="F340" i="1" s="1"/>
  <c r="F1113" i="1" a="1"/>
  <c r="F1113" i="1" s="1"/>
  <c r="F24" i="1" a="1"/>
  <c r="F24" i="1" s="1"/>
  <c r="F675" i="1" a="1"/>
  <c r="F675" i="1" s="1"/>
  <c r="F1205" i="1" a="1"/>
  <c r="F1205" i="1" s="1"/>
  <c r="F1321" i="1" a="1"/>
  <c r="F1321" i="1" s="1"/>
  <c r="F171" i="1" a="1"/>
  <c r="F171" i="1" s="1"/>
  <c r="F252" i="1" a="1"/>
  <c r="F252" i="1" s="1"/>
  <c r="F1240" i="1" a="1"/>
  <c r="F1240" i="1" s="1"/>
  <c r="F729" i="1" a="1"/>
  <c r="F729" i="1" s="1"/>
  <c r="F1361" i="1" a="1"/>
  <c r="F1361" i="1" s="1"/>
  <c r="F64" i="1" a="1"/>
  <c r="F64" i="1" s="1"/>
  <c r="F42" i="1" a="1"/>
  <c r="F42" i="1" s="1"/>
  <c r="F799" i="1" a="1"/>
  <c r="F799" i="1" s="1"/>
  <c r="F119" i="1" a="1"/>
  <c r="F119" i="1" s="1"/>
  <c r="F1091" i="1" a="1"/>
  <c r="F1091" i="1" s="1"/>
  <c r="F389" i="1" a="1"/>
  <c r="F389" i="1" s="1"/>
  <c r="F715" i="1" a="1"/>
  <c r="F715" i="1" s="1"/>
  <c r="F195" i="1" a="1"/>
  <c r="F195" i="1" s="1"/>
  <c r="F1130" i="1" a="1"/>
  <c r="F1130" i="1" s="1"/>
  <c r="F4" i="1" a="1"/>
  <c r="F4" i="1" s="1"/>
  <c r="F443" i="1" a="1"/>
  <c r="F443" i="1" s="1"/>
  <c r="F234" i="1" a="1"/>
  <c r="F234" i="1" s="1"/>
  <c r="F1095" i="1" a="1"/>
  <c r="F1095" i="1" s="1"/>
  <c r="F784" i="1" a="1"/>
  <c r="F784" i="1" s="1"/>
  <c r="F1293" i="1" a="1"/>
  <c r="F1293" i="1" s="1"/>
  <c r="F1258" i="1" a="1"/>
  <c r="F1258" i="1" s="1"/>
  <c r="F575" i="1" a="1"/>
  <c r="F575" i="1" s="1"/>
  <c r="F832" i="1" a="1"/>
  <c r="F832" i="1" s="1"/>
  <c r="F401" i="1" a="1"/>
  <c r="F401" i="1" s="1"/>
  <c r="F803" i="1" a="1"/>
  <c r="F803" i="1" s="1"/>
  <c r="F1198" i="1" a="1"/>
  <c r="F1198" i="1" s="1"/>
  <c r="F319" i="1" a="1"/>
  <c r="F319" i="1" s="1"/>
  <c r="F974" i="1" a="1"/>
  <c r="F974" i="1" s="1"/>
  <c r="F751" i="1" a="1"/>
  <c r="F751" i="1" s="1"/>
  <c r="F944" i="1" a="1"/>
  <c r="F944" i="1" s="1"/>
  <c r="F302" i="1" a="1"/>
  <c r="F302" i="1" s="1"/>
  <c r="F441" i="1" a="1"/>
  <c r="F441" i="1" s="1"/>
  <c r="F1167" i="1" a="1"/>
  <c r="F1167" i="1" s="1"/>
  <c r="F1076" i="1" a="1"/>
  <c r="F1076" i="1" s="1"/>
  <c r="F1027" i="1" a="1"/>
  <c r="F1027" i="1" s="1"/>
  <c r="F395" i="1" a="1"/>
  <c r="F395" i="1" s="1"/>
  <c r="F1333" i="1" a="1"/>
  <c r="F1333" i="1" s="1"/>
  <c r="F949" i="1" a="1"/>
  <c r="F949" i="1" s="1"/>
  <c r="F1324" i="1" a="1"/>
  <c r="F1324" i="1" s="1"/>
  <c r="F537" i="1" a="1"/>
  <c r="F537" i="1" s="1"/>
  <c r="F1055" i="1" a="1"/>
  <c r="F1055" i="1" s="1"/>
  <c r="F606" i="1" a="1"/>
  <c r="F606" i="1" s="1"/>
  <c r="F7" i="1" a="1"/>
  <c r="F7" i="1" s="1"/>
  <c r="F218" i="1" a="1"/>
  <c r="F218" i="1" s="1"/>
  <c r="F153" i="1" a="1"/>
  <c r="F153" i="1" s="1"/>
  <c r="F628" i="1" a="1"/>
  <c r="F628" i="1" s="1"/>
  <c r="F608" i="1" a="1"/>
  <c r="F608" i="1" s="1"/>
  <c r="F353" i="1" a="1"/>
  <c r="F353" i="1" s="1"/>
  <c r="F1318" i="1" a="1"/>
  <c r="F1318" i="1" s="1"/>
  <c r="F1063" i="1" a="1"/>
  <c r="F1063" i="1" s="1"/>
  <c r="F1173" i="1" a="1"/>
  <c r="F1173" i="1" s="1"/>
  <c r="F976" i="1" a="1"/>
  <c r="F976" i="1" s="1"/>
  <c r="F970" i="1" a="1"/>
  <c r="F970" i="1" s="1"/>
  <c r="F935" i="1" a="1"/>
  <c r="F935" i="1" s="1"/>
  <c r="F639" i="1" a="1"/>
  <c r="F639" i="1" s="1"/>
  <c r="F1290" i="1" a="1"/>
  <c r="F1290" i="1" s="1"/>
  <c r="F1053" i="1" a="1"/>
  <c r="F1053" i="1" s="1"/>
  <c r="F740" i="1" a="1"/>
  <c r="F740" i="1" s="1"/>
  <c r="F37" i="1" a="1"/>
  <c r="F37" i="1" s="1"/>
  <c r="F1180" i="1" a="1"/>
  <c r="F1180" i="1" s="1"/>
  <c r="F565" i="1" a="1"/>
  <c r="F565" i="1" s="1"/>
  <c r="F862" i="1" a="1"/>
  <c r="F862" i="1" s="1"/>
  <c r="F855" i="1" a="1"/>
  <c r="F855" i="1" s="1"/>
  <c r="F1310" i="1" a="1"/>
  <c r="F1310" i="1" s="1"/>
  <c r="F23" i="1" a="1"/>
  <c r="F23" i="1" s="1"/>
  <c r="F1342" i="1" a="1"/>
  <c r="F1342" i="1" s="1"/>
  <c r="F1237" i="1" a="1"/>
  <c r="F1237" i="1" s="1"/>
  <c r="F250" i="1" a="1"/>
  <c r="F250" i="1" s="1"/>
  <c r="F576" i="1" a="1"/>
  <c r="F576" i="1" s="1"/>
  <c r="F1356" i="1" a="1"/>
  <c r="F1356" i="1" s="1"/>
  <c r="F1347" i="1" a="1"/>
  <c r="F1347" i="1" s="1"/>
  <c r="F985" i="1" a="1"/>
  <c r="F985" i="1" s="1"/>
  <c r="F254" i="1" a="1"/>
  <c r="F254" i="1" s="1"/>
  <c r="F572" i="1" a="1"/>
  <c r="F572" i="1" s="1"/>
  <c r="F978" i="1" a="1"/>
  <c r="F978" i="1" s="1"/>
  <c r="F607" i="1" a="1"/>
  <c r="F607" i="1" s="1"/>
  <c r="F1059" i="1" a="1"/>
  <c r="F1059" i="1" s="1"/>
  <c r="F1284" i="1" a="1"/>
  <c r="F1284" i="1" s="1"/>
  <c r="F1340" i="1" a="1"/>
  <c r="F1340" i="1" s="1"/>
  <c r="F61" i="1" a="1"/>
  <c r="F61" i="1" s="1"/>
  <c r="F559" i="1" a="1"/>
  <c r="F559" i="1" s="1"/>
  <c r="F1187" i="1" a="1"/>
  <c r="F1187" i="1" s="1"/>
  <c r="F127" i="1" a="1"/>
  <c r="F127" i="1" s="1"/>
  <c r="F795" i="1" a="1"/>
  <c r="F795" i="1" s="1"/>
  <c r="F1211" i="1" a="1"/>
  <c r="F1211" i="1" s="1"/>
  <c r="F1309" i="1" a="1"/>
  <c r="F1309" i="1" s="1"/>
  <c r="F12" i="1" a="1"/>
  <c r="F12" i="1" s="1"/>
  <c r="F1135" i="1" a="1"/>
  <c r="F1135" i="1" s="1"/>
  <c r="F363" i="1" a="1"/>
  <c r="F363" i="1" s="1"/>
  <c r="F172" i="1" a="1"/>
  <c r="F172" i="1" s="1"/>
  <c r="F561" i="1" a="1"/>
  <c r="F561" i="1" s="1"/>
  <c r="F256" i="1" a="1"/>
  <c r="F256" i="1" s="1"/>
  <c r="F638" i="1" a="1"/>
  <c r="F638" i="1" s="1"/>
  <c r="F739" i="1" a="1"/>
  <c r="F739" i="1" s="1"/>
  <c r="F1038" i="1" a="1"/>
  <c r="F1038" i="1" s="1"/>
  <c r="F731" i="1" a="1"/>
  <c r="F731" i="1" s="1"/>
  <c r="F852" i="1" a="1"/>
  <c r="F852" i="1" s="1"/>
  <c r="F578" i="1" a="1"/>
  <c r="F578" i="1" s="1"/>
  <c r="F82" i="1" a="1"/>
  <c r="F82" i="1" s="1"/>
  <c r="F650" i="1" a="1"/>
  <c r="F650" i="1" s="1"/>
  <c r="F295" i="1" a="1"/>
  <c r="F295" i="1" s="1"/>
  <c r="F744" i="1" a="1"/>
  <c r="F744" i="1" s="1"/>
  <c r="F259" i="1" a="1"/>
  <c r="F259" i="1" s="1"/>
  <c r="F477" i="1" a="1"/>
  <c r="F477" i="1" s="1"/>
  <c r="F664" i="1" a="1"/>
  <c r="F664" i="1" s="1"/>
  <c r="F1069" i="1" a="1"/>
  <c r="F1069" i="1" s="1"/>
  <c r="F384" i="1" a="1"/>
  <c r="F384" i="1" s="1"/>
  <c r="F717" i="1" a="1"/>
  <c r="F717" i="1" s="1"/>
  <c r="F178" i="1" a="1"/>
  <c r="F178" i="1" s="1"/>
  <c r="F1077" i="1" a="1"/>
  <c r="F1077" i="1" s="1"/>
  <c r="F647" i="1" a="1"/>
  <c r="F647" i="1" s="1"/>
  <c r="F216" i="1" a="1"/>
  <c r="F216" i="1" s="1"/>
  <c r="F691" i="1" a="1"/>
  <c r="F691" i="1" s="1"/>
  <c r="F1128" i="1" a="1"/>
  <c r="F1128" i="1" s="1"/>
  <c r="F581" i="1" a="1"/>
  <c r="F581" i="1" s="1"/>
  <c r="F160" i="1" a="1"/>
  <c r="F160" i="1" s="1"/>
  <c r="F884" i="1" a="1"/>
  <c r="F884" i="1" s="1"/>
  <c r="F830" i="1" a="1"/>
  <c r="F830" i="1" s="1"/>
  <c r="F582" i="1" a="1"/>
  <c r="F582" i="1" s="1"/>
  <c r="F828" i="1" a="1"/>
  <c r="F828" i="1" s="1"/>
  <c r="F1098" i="1" a="1"/>
  <c r="F1098" i="1" s="1"/>
  <c r="F953" i="1" a="1"/>
  <c r="F953" i="1" s="1"/>
  <c r="F486" i="1" a="1"/>
  <c r="F486" i="1" s="1"/>
  <c r="F838" i="1" a="1"/>
  <c r="F838" i="1" s="1"/>
  <c r="F631" i="1" a="1"/>
  <c r="F631" i="1" s="1"/>
  <c r="F818" i="1" a="1"/>
  <c r="F818" i="1" s="1"/>
  <c r="F451" i="1" a="1"/>
  <c r="F451" i="1" s="1"/>
  <c r="F1002" i="1" a="1"/>
  <c r="F1002" i="1" s="1"/>
  <c r="F183" i="1" a="1"/>
  <c r="F183" i="1" s="1"/>
  <c r="F539" i="1" a="1"/>
  <c r="F539" i="1" s="1"/>
  <c r="F423" i="1" a="1"/>
  <c r="F423" i="1" s="1"/>
  <c r="F108" i="1" a="1"/>
  <c r="F108" i="1" s="1"/>
  <c r="F834" i="1" a="1"/>
  <c r="F834" i="1" s="1"/>
  <c r="F662" i="1" a="1"/>
  <c r="F662" i="1" s="1"/>
  <c r="F812" i="1" a="1"/>
  <c r="F812" i="1" s="1"/>
  <c r="F161" i="1" a="1"/>
  <c r="F161" i="1" s="1"/>
  <c r="F1142" i="1" a="1"/>
  <c r="F1142" i="1" s="1"/>
  <c r="F636" i="1" a="1"/>
  <c r="F636" i="1" s="1"/>
  <c r="F1003" i="1" a="1"/>
  <c r="F1003" i="1" s="1"/>
  <c r="F766" i="1" a="1"/>
  <c r="F766" i="1" s="1"/>
  <c r="F1271" i="1" a="1"/>
  <c r="F1271" i="1" s="1"/>
  <c r="F904" i="1" a="1"/>
  <c r="F904" i="1" s="1"/>
  <c r="F194" i="1" a="1"/>
  <c r="F194" i="1" s="1"/>
  <c r="F672" i="1" a="1"/>
  <c r="F672" i="1" s="1"/>
  <c r="F1010" i="1" a="1"/>
  <c r="F1010" i="1" s="1"/>
  <c r="F351" i="1" a="1"/>
  <c r="F351" i="1" s="1"/>
  <c r="F1289" i="1" a="1"/>
  <c r="F1289" i="1" s="1"/>
  <c r="F603" i="1" a="1"/>
  <c r="F603" i="1" s="1"/>
  <c r="F89" i="1" a="1"/>
  <c r="F89" i="1" s="1"/>
  <c r="F231" i="1" a="1"/>
  <c r="F231" i="1" s="1"/>
  <c r="F470" i="1" a="1"/>
  <c r="F470" i="1" s="1"/>
  <c r="F367" i="1" a="1"/>
  <c r="F367" i="1" s="1"/>
  <c r="F328" i="1" a="1"/>
  <c r="F328" i="1" s="1"/>
  <c r="F1161" i="1" a="1"/>
  <c r="F1161" i="1" s="1"/>
  <c r="F1239" i="1" a="1"/>
  <c r="F1239" i="1" s="1"/>
  <c r="F1026" i="1" a="1"/>
  <c r="F1026" i="1" s="1"/>
  <c r="F992" i="1" a="1"/>
  <c r="F992" i="1" s="1"/>
  <c r="F83" i="1" a="1"/>
  <c r="F83" i="1" s="1"/>
  <c r="F694" i="1" a="1"/>
  <c r="F694" i="1" s="1"/>
  <c r="F1176" i="1" a="1"/>
  <c r="F1176" i="1" s="1"/>
  <c r="F1021" i="1" a="1"/>
  <c r="F1021" i="1" s="1"/>
  <c r="F569" i="1" a="1"/>
  <c r="F569" i="1" s="1"/>
  <c r="F1183" i="1" a="1"/>
  <c r="F1183" i="1" s="1"/>
  <c r="F1325" i="1" a="1"/>
  <c r="F1325" i="1" s="1"/>
  <c r="F217" i="1" a="1"/>
  <c r="F217" i="1" s="1"/>
  <c r="F989" i="1" a="1"/>
  <c r="F989" i="1" s="1"/>
  <c r="F627" i="1" a="1"/>
  <c r="F627" i="1" s="1"/>
  <c r="F1143" i="1" a="1"/>
  <c r="F1143" i="1" s="1"/>
  <c r="F586" i="1" a="1"/>
  <c r="F586" i="1" s="1"/>
  <c r="F453" i="1" a="1"/>
  <c r="F453" i="1" s="1"/>
  <c r="F1136" i="1" a="1"/>
  <c r="F1136" i="1" s="1"/>
  <c r="F775" i="1" a="1"/>
  <c r="F775" i="1" s="1"/>
  <c r="F396" i="1" a="1"/>
  <c r="F396" i="1" s="1"/>
  <c r="F602" i="1" a="1"/>
  <c r="F602" i="1" s="1"/>
  <c r="F951" i="1" a="1"/>
  <c r="F951" i="1" s="1"/>
  <c r="F625" i="1" a="1"/>
  <c r="F625" i="1" s="1"/>
  <c r="F288" i="1" a="1"/>
  <c r="F288" i="1" s="1"/>
  <c r="F352" i="1" a="1"/>
  <c r="F352" i="1" s="1"/>
  <c r="F1123" i="1" a="1"/>
  <c r="F1123" i="1" s="1"/>
  <c r="F1022" i="1" a="1"/>
  <c r="F1022" i="1" s="1"/>
  <c r="F747" i="1" a="1"/>
  <c r="F747" i="1" s="1"/>
  <c r="F1326" i="1" a="1"/>
  <c r="F1326" i="1" s="1"/>
  <c r="F462" i="1" a="1"/>
  <c r="F462" i="1" s="1"/>
  <c r="F583" i="1" a="1"/>
  <c r="F583" i="1" s="1"/>
  <c r="F600" i="1" a="1"/>
  <c r="F600" i="1" s="1"/>
  <c r="F746" i="1" a="1"/>
  <c r="F746" i="1" s="1"/>
  <c r="F13" i="1" a="1"/>
  <c r="F13" i="1" s="1"/>
  <c r="F1181" i="1" a="1"/>
  <c r="F1181" i="1" s="1"/>
  <c r="F1236" i="1" a="1"/>
  <c r="F1236" i="1" s="1"/>
  <c r="F495" i="1" a="1"/>
  <c r="F495" i="1" s="1"/>
  <c r="F1355" i="1" a="1"/>
  <c r="F1355" i="1" s="1"/>
  <c r="F791" i="1" a="1"/>
  <c r="F791" i="1" s="1"/>
  <c r="F1028" i="1" a="1"/>
  <c r="F1028" i="1" s="1"/>
  <c r="F388" i="1" a="1"/>
  <c r="F388" i="1" s="1"/>
  <c r="F469" i="1" a="1"/>
  <c r="F469" i="1" s="1"/>
  <c r="F1094" i="1" a="1"/>
  <c r="F1094" i="1" s="1"/>
  <c r="F1149" i="1" a="1"/>
  <c r="F1149" i="1" s="1"/>
  <c r="F1033" i="1" a="1"/>
  <c r="F1033" i="1" s="1"/>
  <c r="F1108" i="1" a="1"/>
  <c r="F1108" i="1" s="1"/>
  <c r="F1298" i="1" a="1"/>
  <c r="F1298" i="1" s="1"/>
  <c r="F597" i="1" a="1"/>
  <c r="F597" i="1" s="1"/>
  <c r="F860" i="1" a="1"/>
  <c r="F860" i="1" s="1"/>
  <c r="F1046" i="1" a="1"/>
  <c r="F1046" i="1" s="1"/>
  <c r="F934" i="1" a="1"/>
  <c r="F934" i="1" s="1"/>
  <c r="F690" i="1" a="1"/>
  <c r="F690" i="1" s="1"/>
  <c r="F1020" i="1" a="1"/>
  <c r="F1020" i="1" s="1"/>
  <c r="F62" i="1" a="1"/>
  <c r="F62" i="1" s="1"/>
  <c r="F1083" i="1" a="1"/>
  <c r="F1083" i="1" s="1"/>
  <c r="F943" i="1" a="1"/>
  <c r="F943" i="1" s="1"/>
  <c r="F79" i="1" a="1"/>
  <c r="F79" i="1" s="1"/>
  <c r="F711" i="1" a="1"/>
  <c r="F711" i="1" s="1"/>
  <c r="F459" i="1" a="1"/>
  <c r="F459" i="1" s="1"/>
  <c r="F101" i="1" a="1"/>
  <c r="F101" i="1" s="1"/>
  <c r="F863" i="1" a="1"/>
  <c r="F863" i="1" s="1"/>
  <c r="F1073" i="1" a="1"/>
  <c r="F1073" i="1" s="1"/>
  <c r="F1007" i="1" a="1"/>
  <c r="F1007" i="1" s="1"/>
  <c r="F533" i="1" a="1"/>
  <c r="F533" i="1" s="1"/>
  <c r="F138" i="1" a="1"/>
  <c r="F138" i="1" s="1"/>
  <c r="F398" i="1" a="1"/>
  <c r="F398" i="1" s="1"/>
  <c r="F400" i="1" a="1"/>
  <c r="F400" i="1" s="1"/>
  <c r="F857" i="1" a="1"/>
  <c r="F857" i="1" s="1"/>
  <c r="F955" i="1" a="1"/>
  <c r="F955" i="1" s="1"/>
  <c r="F498" i="1" a="1"/>
  <c r="F498" i="1" s="1"/>
  <c r="F1371" i="1" a="1"/>
  <c r="F1371" i="1" s="1"/>
  <c r="F615" i="1" a="1"/>
  <c r="F615" i="1" s="1"/>
  <c r="F693" i="1" a="1"/>
  <c r="F693" i="1" s="1"/>
  <c r="F1172" i="1" a="1"/>
  <c r="F1172" i="1" s="1"/>
  <c r="F1018" i="1" a="1"/>
  <c r="F1018" i="1" s="1"/>
  <c r="F157" i="1" a="1"/>
  <c r="F157" i="1" s="1"/>
  <c r="F229" i="1" a="1"/>
  <c r="F229" i="1" s="1"/>
  <c r="F220" i="1" a="1"/>
  <c r="F220" i="1" s="1"/>
  <c r="F847" i="1" a="1"/>
  <c r="F847" i="1" s="1"/>
  <c r="F656" i="1" a="1"/>
  <c r="F656" i="1" s="1"/>
  <c r="F910" i="1" a="1"/>
  <c r="F910" i="1" s="1"/>
  <c r="F1343" i="1" a="1"/>
  <c r="F1343" i="1" s="1"/>
  <c r="F58" i="1" a="1"/>
  <c r="F58" i="1" s="1"/>
  <c r="F100" i="1" a="1"/>
  <c r="F100" i="1" s="1"/>
  <c r="F1184" i="1" a="1"/>
  <c r="F1184" i="1" s="1"/>
  <c r="F642" i="1" a="1"/>
  <c r="F642" i="1" s="1"/>
  <c r="F1175" i="1" a="1"/>
  <c r="F1175" i="1" s="1"/>
  <c r="F1147" i="1" a="1"/>
  <c r="F1147" i="1" s="1"/>
  <c r="F793" i="1" a="1"/>
  <c r="F793" i="1" s="1"/>
  <c r="F390" i="1" a="1"/>
  <c r="F390" i="1" s="1"/>
  <c r="F720" i="1" a="1"/>
  <c r="F720" i="1" s="1"/>
  <c r="F446" i="1" a="1"/>
  <c r="F446" i="1" s="1"/>
  <c r="F1194" i="1" a="1"/>
  <c r="F1194" i="1" s="1"/>
  <c r="F175" i="1" a="1"/>
  <c r="F175" i="1" s="1"/>
  <c r="F1233" i="1" a="1"/>
  <c r="F1233" i="1" s="1"/>
  <c r="F1041" i="1" a="1"/>
  <c r="F1041" i="1" s="1"/>
  <c r="F718" i="1" a="1"/>
  <c r="F718" i="1" s="1"/>
  <c r="F307" i="1" a="1"/>
  <c r="F307" i="1" s="1"/>
  <c r="F769" i="1" a="1"/>
  <c r="F769" i="1" s="1"/>
  <c r="F111" i="1" a="1"/>
  <c r="F111" i="1" s="1"/>
  <c r="F393" i="1" a="1"/>
  <c r="F393" i="1" s="1"/>
  <c r="F147" i="1" a="1"/>
  <c r="F147" i="1" s="1"/>
  <c r="F1370" i="1" a="1"/>
  <c r="F1370" i="1" s="1"/>
  <c r="F314" i="1" a="1"/>
  <c r="F314" i="1" s="1"/>
  <c r="F1294" i="1" a="1"/>
  <c r="F1294" i="1" s="1"/>
  <c r="F754" i="1" a="1"/>
  <c r="F754" i="1" s="1"/>
  <c r="F525" i="1" a="1"/>
  <c r="F525" i="1" s="1"/>
  <c r="F545" i="1" a="1"/>
  <c r="F545" i="1" s="1"/>
  <c r="F1200" i="1" a="1"/>
  <c r="F1200" i="1" s="1"/>
  <c r="F428" i="1" a="1"/>
  <c r="F428" i="1" s="1"/>
  <c r="F785" i="1" a="1"/>
  <c r="F785" i="1" s="1"/>
  <c r="F1066" i="1" a="1"/>
  <c r="F1066" i="1" s="1"/>
  <c r="F894" i="1" a="1"/>
  <c r="F894" i="1" s="1"/>
  <c r="F736" i="1" a="1"/>
  <c r="F736" i="1" s="1"/>
  <c r="F540" i="1" a="1"/>
  <c r="F540" i="1" s="1"/>
  <c r="F318" i="1" a="1"/>
  <c r="F318" i="1" s="1"/>
  <c r="F1102" i="1" a="1"/>
  <c r="F1102" i="1" s="1"/>
  <c r="F702" i="1" a="1"/>
  <c r="F702" i="1" s="1"/>
  <c r="F1016" i="1" a="1"/>
  <c r="F1016" i="1" s="1"/>
  <c r="F842" i="1" a="1"/>
  <c r="F842" i="1" s="1"/>
  <c r="F783" i="1" a="1"/>
  <c r="F783" i="1" s="1"/>
  <c r="F274" i="1" a="1"/>
  <c r="F274" i="1" s="1"/>
  <c r="F166" i="1" a="1"/>
  <c r="F166" i="1" s="1"/>
  <c r="F906" i="1" a="1"/>
  <c r="F906" i="1" s="1"/>
  <c r="F210" i="1" a="1"/>
  <c r="F210" i="1" s="1"/>
  <c r="F866" i="1" a="1"/>
  <c r="F866" i="1" s="1"/>
  <c r="F1196" i="1" a="1"/>
  <c r="F1196" i="1" s="1"/>
  <c r="F1292" i="1" a="1"/>
  <c r="F1292" i="1" s="1"/>
  <c r="F281" i="1" a="1"/>
  <c r="F281" i="1" s="1"/>
  <c r="F1042" i="1" a="1"/>
  <c r="F1042" i="1" s="1"/>
  <c r="F849" i="1" a="1"/>
  <c r="F849" i="1" s="1"/>
  <c r="F713" i="1" a="1"/>
  <c r="F713" i="1" s="1"/>
  <c r="F895" i="1" a="1"/>
  <c r="F895" i="1" s="1"/>
  <c r="F580" i="1" a="1"/>
  <c r="F580" i="1" s="1"/>
  <c r="F544" i="1" a="1"/>
  <c r="F544" i="1" s="1"/>
  <c r="F977" i="1" a="1"/>
  <c r="F977" i="1" s="1"/>
  <c r="F1114" i="1" a="1"/>
  <c r="F1114" i="1" s="1"/>
  <c r="F447" i="1" a="1"/>
  <c r="F447" i="1" s="1"/>
  <c r="F474" i="1" a="1"/>
  <c r="F474" i="1" s="1"/>
  <c r="F63" i="1" a="1"/>
  <c r="F63" i="1" s="1"/>
  <c r="F52" i="1" a="1"/>
  <c r="F52" i="1" s="1"/>
  <c r="F681" i="1" a="1"/>
  <c r="F681" i="1" s="1"/>
  <c r="F415" i="1" a="1"/>
  <c r="F415" i="1" s="1"/>
  <c r="F472" i="1" a="1"/>
  <c r="F472" i="1" s="1"/>
  <c r="F87" i="1" a="1"/>
  <c r="F87" i="1" s="1"/>
  <c r="F1151" i="1" a="1"/>
  <c r="F1151" i="1" s="1"/>
  <c r="F950" i="1" a="1"/>
  <c r="F950" i="1" s="1"/>
  <c r="F909" i="1" a="1"/>
  <c r="F909" i="1" s="1"/>
  <c r="F113" i="1" a="1"/>
  <c r="F113" i="1" s="1"/>
  <c r="F280" i="1" a="1"/>
  <c r="F280" i="1" s="1"/>
  <c r="F88" i="1" a="1"/>
  <c r="F88" i="1" s="1"/>
  <c r="F442" i="1" a="1"/>
  <c r="F442" i="1" s="1"/>
  <c r="F1132" i="1" a="1"/>
  <c r="F1132" i="1" s="1"/>
  <c r="F412" i="1" a="1"/>
  <c r="F412" i="1" s="1"/>
  <c r="F135" i="1" a="1"/>
  <c r="F135" i="1" s="1"/>
  <c r="F768" i="1" a="1"/>
  <c r="F768" i="1" s="1"/>
  <c r="F646" i="1" a="1"/>
  <c r="F646" i="1" s="1"/>
  <c r="F237" i="1" a="1"/>
  <c r="F237" i="1" s="1"/>
  <c r="F945" i="1" a="1"/>
  <c r="F945" i="1" s="1"/>
  <c r="F150" i="1" a="1"/>
  <c r="F150" i="1" s="1"/>
  <c r="F403" i="1" a="1"/>
  <c r="F403" i="1" s="1"/>
  <c r="F529" i="1" a="1"/>
  <c r="F529" i="1" s="1"/>
  <c r="F678" i="1" a="1"/>
  <c r="F678" i="1" s="1"/>
  <c r="F146" i="1" a="1"/>
  <c r="F146" i="1" s="1"/>
  <c r="F841" i="1" a="1"/>
  <c r="F841" i="1" s="1"/>
  <c r="F796" i="1" a="1"/>
  <c r="F796" i="1" s="1"/>
  <c r="F1251" i="1" a="1"/>
  <c r="F1251" i="1" s="1"/>
  <c r="F120" i="1" a="1"/>
  <c r="F120" i="1" s="1"/>
  <c r="F967" i="1" a="1"/>
  <c r="F967" i="1" s="1"/>
  <c r="F72" i="1" a="1"/>
  <c r="F72" i="1" s="1"/>
  <c r="F124" i="1" a="1"/>
  <c r="F124" i="1" s="1"/>
  <c r="F1319" i="1" a="1"/>
  <c r="F1319" i="1" s="1"/>
  <c r="F354" i="1" a="1"/>
  <c r="F354" i="1" s="1"/>
  <c r="F240" i="1" a="1"/>
  <c r="F240" i="1" s="1"/>
  <c r="F1107" i="1" a="1"/>
  <c r="F1107" i="1" s="1"/>
  <c r="F416" i="1" a="1"/>
  <c r="F416" i="1" s="1"/>
  <c r="F1313" i="1" a="1"/>
  <c r="F1313" i="1" s="1"/>
  <c r="F502" i="1" a="1"/>
  <c r="F502" i="1" s="1"/>
  <c r="F497" i="1" a="1"/>
  <c r="F497" i="1" s="1"/>
  <c r="F376" i="1" a="1"/>
  <c r="F376" i="1" s="1"/>
  <c r="F809" i="1" a="1"/>
  <c r="F809" i="1" s="1"/>
  <c r="F468" i="1" a="1"/>
  <c r="F468" i="1" s="1"/>
  <c r="F321" i="1" a="1"/>
  <c r="F321" i="1" s="1"/>
  <c r="F226" i="1" a="1"/>
  <c r="F226" i="1" s="1"/>
  <c r="F19" i="1" a="1"/>
  <c r="F19" i="1" s="1"/>
  <c r="F330" i="1" a="1"/>
  <c r="F330" i="1" s="1"/>
  <c r="F478" i="1" a="1"/>
  <c r="F478" i="1" s="1"/>
  <c r="F209" i="1" a="1"/>
  <c r="F209" i="1" s="1"/>
  <c r="F1064" i="1" a="1"/>
  <c r="F1064" i="1" s="1"/>
  <c r="F1070" i="1" a="1"/>
  <c r="F1070" i="1" s="1"/>
  <c r="F369" i="1" a="1"/>
  <c r="F369" i="1" s="1"/>
  <c r="F41" i="1" a="1"/>
  <c r="F41" i="1" s="1"/>
  <c r="F270" i="1" a="1"/>
  <c r="F270" i="1" s="1"/>
  <c r="F204" i="1" a="1"/>
  <c r="F204" i="1" s="1"/>
  <c r="F303" i="1" a="1"/>
  <c r="F303" i="1" s="1"/>
  <c r="F1186" i="1" a="1"/>
  <c r="F1186" i="1" s="1"/>
  <c r="F115" i="1" a="1"/>
  <c r="F115" i="1" s="1"/>
  <c r="F887" i="1" a="1"/>
  <c r="F887" i="1" s="1"/>
  <c r="F341" i="1" a="1"/>
  <c r="F341" i="1" s="1"/>
  <c r="F510" i="1" a="1"/>
  <c r="F510" i="1" s="1"/>
  <c r="F983" i="1" a="1"/>
  <c r="F983" i="1" s="1"/>
  <c r="F448" i="1" a="1"/>
  <c r="F448" i="1" s="1"/>
  <c r="F154" i="1" a="1"/>
  <c r="F154" i="1" s="1"/>
  <c r="F134" i="1" a="1"/>
  <c r="F134" i="1" s="1"/>
  <c r="F1118" i="1" a="1"/>
  <c r="F1118" i="1" s="1"/>
  <c r="F1158" i="1" a="1"/>
  <c r="F1158" i="1" s="1"/>
  <c r="F1254" i="1" a="1"/>
  <c r="F1254" i="1" s="1"/>
  <c r="F392" i="1" a="1"/>
  <c r="F392" i="1" s="1"/>
  <c r="F1178" i="1" a="1"/>
  <c r="F1178" i="1" s="1"/>
  <c r="F725" i="1" a="1"/>
  <c r="F725" i="1" s="1"/>
  <c r="F191" i="1" a="1"/>
  <c r="F191" i="1" s="1"/>
  <c r="F514" i="1" a="1"/>
  <c r="F514" i="1" s="1"/>
  <c r="F1122" i="1" a="1"/>
  <c r="F1122" i="1" s="1"/>
  <c r="F306" i="1" a="1"/>
  <c r="F306" i="1" s="1"/>
  <c r="F1111" i="1" a="1"/>
  <c r="F1111" i="1" s="1"/>
  <c r="F947" i="1" a="1"/>
  <c r="F947" i="1" s="1"/>
  <c r="F868" i="1" a="1"/>
  <c r="F868" i="1" s="1"/>
  <c r="F963" i="1" a="1"/>
  <c r="F963" i="1" s="1"/>
  <c r="F141" i="1" a="1"/>
  <c r="F141" i="1" s="1"/>
  <c r="F1248" i="1" a="1"/>
  <c r="F1248" i="1" s="1"/>
  <c r="F349" i="1" a="1"/>
  <c r="F349" i="1" s="1"/>
  <c r="F874" i="1" a="1"/>
  <c r="F874" i="1" s="1"/>
  <c r="F381" i="1" a="1"/>
  <c r="F381" i="1" s="1"/>
  <c r="F128" i="1" a="1"/>
  <c r="F128" i="1" s="1"/>
  <c r="F787" i="1" a="1"/>
  <c r="F787" i="1" s="1"/>
  <c r="F142" i="1" a="1"/>
  <c r="F142" i="1" s="1"/>
  <c r="F411" i="1" a="1"/>
  <c r="F411" i="1" s="1"/>
  <c r="F372" i="1" a="1"/>
  <c r="F372" i="1" s="1"/>
  <c r="F1034" i="1" a="1"/>
  <c r="F1034" i="1" s="1"/>
  <c r="F1230" i="1" a="1"/>
  <c r="F1230" i="1" s="1"/>
  <c r="F819" i="1" a="1"/>
  <c r="F819" i="1" s="1"/>
  <c r="F452" i="1" a="1"/>
  <c r="F452" i="1" s="1"/>
  <c r="F1048" i="1" a="1"/>
  <c r="F1048" i="1" s="1"/>
  <c r="F891" i="1" a="1"/>
  <c r="F891" i="1" s="1"/>
  <c r="F107" i="1" a="1"/>
  <c r="F107" i="1" s="1"/>
  <c r="F833" i="1" a="1"/>
  <c r="F833" i="1" s="1"/>
  <c r="F764" i="1" a="1"/>
  <c r="F764" i="1" s="1"/>
  <c r="F654" i="1" a="1"/>
  <c r="F654" i="1" s="1"/>
  <c r="F673" i="1" a="1"/>
  <c r="F673" i="1" s="1"/>
  <c r="F283" i="1" a="1"/>
  <c r="F283" i="1" s="1"/>
  <c r="F922" i="1" a="1"/>
  <c r="F922" i="1" s="1"/>
  <c r="F480" i="1" a="1"/>
  <c r="F480" i="1" s="1"/>
  <c r="F807" i="1" a="1"/>
  <c r="F807" i="1" s="1"/>
  <c r="F90" i="1" a="1"/>
  <c r="F90" i="1" s="1"/>
  <c r="F455" i="1" a="1"/>
  <c r="F455" i="1" s="1"/>
  <c r="F701" i="1" a="1"/>
  <c r="F701" i="1" s="1"/>
  <c r="F298" i="1" a="1"/>
  <c r="F298" i="1" s="1"/>
  <c r="F465" i="1" a="1"/>
  <c r="F465" i="1" s="1"/>
  <c r="F186" i="1" a="1"/>
  <c r="F186" i="1" s="1"/>
  <c r="F380" i="1" a="1"/>
  <c r="F380" i="1" s="1"/>
  <c r="F508" i="1" a="1"/>
  <c r="F508" i="1" s="1"/>
  <c r="F563" i="1" a="1"/>
  <c r="F563" i="1" s="1"/>
  <c r="F136" i="1" a="1"/>
  <c r="F136" i="1" s="1"/>
  <c r="F815" i="1" a="1"/>
  <c r="F815" i="1" s="1"/>
  <c r="F315" i="1" a="1"/>
  <c r="F315" i="1" s="1"/>
  <c r="F1110" i="1" a="1"/>
  <c r="F1110" i="1" s="1"/>
  <c r="F1160" i="1" a="1"/>
  <c r="F1160" i="1" s="1"/>
  <c r="F1008" i="1" a="1"/>
  <c r="F1008" i="1" s="1"/>
  <c r="F907" i="1" a="1"/>
  <c r="F907" i="1" s="1"/>
  <c r="F1238" i="1" a="1"/>
  <c r="F1238" i="1" s="1"/>
  <c r="F518" i="1" a="1"/>
  <c r="F518" i="1" s="1"/>
  <c r="F996" i="1" a="1"/>
  <c r="F996" i="1" s="1"/>
  <c r="F592" i="1" a="1"/>
  <c r="F592" i="1" s="1"/>
  <c r="F1060" i="1" a="1"/>
  <c r="F1060" i="1" s="1"/>
  <c r="F893" i="1" a="1"/>
  <c r="F893" i="1" s="1"/>
  <c r="F1040" i="1" a="1"/>
  <c r="F1040" i="1" s="1"/>
  <c r="F549" i="1" a="1"/>
  <c r="F549" i="1" s="1"/>
  <c r="F1121" i="1" a="1"/>
  <c r="F1121" i="1" s="1"/>
  <c r="F305" i="1" a="1"/>
  <c r="F305" i="1" s="1"/>
  <c r="F1287" i="1" a="1"/>
  <c r="F1287" i="1" s="1"/>
  <c r="F749" i="1" a="1"/>
  <c r="F749" i="1" s="1"/>
  <c r="F1124" i="1" a="1"/>
  <c r="F1124" i="1" s="1"/>
  <c r="F494" i="1" a="1"/>
  <c r="F494" i="1" s="1"/>
  <c r="F1327" i="1" a="1"/>
  <c r="F1327" i="1" s="1"/>
  <c r="F611" i="1" a="1"/>
  <c r="F611" i="1" s="1"/>
  <c r="F536" i="1" a="1"/>
  <c r="F536" i="1" s="1"/>
  <c r="F902" i="1" a="1"/>
  <c r="F902" i="1" s="1"/>
  <c r="F599" i="1" a="1"/>
  <c r="F599" i="1" s="1"/>
  <c r="F485" i="1" a="1"/>
  <c r="F485" i="1" s="1"/>
  <c r="F49" i="1" a="1"/>
  <c r="F49" i="1" s="1"/>
  <c r="F804" i="1" a="1"/>
  <c r="F804" i="1" s="1"/>
  <c r="F1265" i="1" a="1"/>
  <c r="F1265" i="1" s="1"/>
  <c r="F207" i="1" a="1"/>
  <c r="F207" i="1" s="1"/>
  <c r="F32" i="1" a="1"/>
  <c r="F32" i="1" s="1"/>
  <c r="F409" i="1" a="1"/>
  <c r="F409" i="1" s="1"/>
  <c r="F1013" i="1" a="1"/>
  <c r="F1013" i="1" s="1"/>
  <c r="F1056" i="1" a="1"/>
  <c r="F1056" i="1" s="1"/>
  <c r="F333" i="1" a="1"/>
  <c r="F333" i="1" s="1"/>
  <c r="F573" i="1" a="1"/>
  <c r="F573" i="1" s="1"/>
  <c r="F152" i="1" a="1"/>
  <c r="F152" i="1" s="1"/>
  <c r="F958" i="1" a="1"/>
  <c r="F958" i="1" s="1"/>
  <c r="F1263" i="1" a="1"/>
  <c r="F1263" i="1" s="1"/>
  <c r="F414" i="1" a="1"/>
  <c r="F414" i="1" s="1"/>
  <c r="F92" i="1" a="1"/>
  <c r="F92" i="1" s="1"/>
  <c r="F997" i="1" a="1"/>
  <c r="F997" i="1" s="1"/>
  <c r="F338" i="1" a="1"/>
  <c r="F338" i="1" s="1"/>
  <c r="F551" i="1" a="1"/>
  <c r="F551" i="1" s="1"/>
  <c r="F567" i="1" a="1"/>
  <c r="F567" i="1" s="1"/>
  <c r="F248" i="1" a="1"/>
  <c r="F248" i="1" s="1"/>
  <c r="F1062" i="1" a="1"/>
  <c r="F1062" i="1" s="1"/>
  <c r="F491" i="1" a="1"/>
  <c r="F491" i="1" s="1"/>
  <c r="F247" i="1" a="1"/>
  <c r="F247" i="1" s="1"/>
  <c r="F1335" i="1" a="1"/>
  <c r="F1335" i="1" s="1"/>
  <c r="F937" i="1" a="1"/>
  <c r="F937" i="1" s="1"/>
  <c r="F1072" i="1" a="1"/>
  <c r="F1072" i="1" s="1"/>
  <c r="F47" i="1" a="1"/>
  <c r="F47" i="1" s="1"/>
  <c r="F1300" i="1" a="1"/>
  <c r="F1300" i="1" s="1"/>
  <c r="F1093" i="1" a="1"/>
  <c r="F1093" i="1" s="1"/>
  <c r="F774" i="1" a="1"/>
  <c r="F774" i="1" s="1"/>
  <c r="F1025" i="1" a="1"/>
  <c r="F1025" i="1" s="1"/>
  <c r="F1331" i="1" a="1"/>
  <c r="F1331" i="1" s="1"/>
  <c r="F74" i="1" a="1"/>
  <c r="F74" i="1" s="1"/>
  <c r="F15" i="1" a="1"/>
  <c r="F15" i="1" s="1"/>
  <c r="F275" i="1" a="1"/>
  <c r="F275" i="1" s="1"/>
  <c r="F1250" i="1" a="1"/>
  <c r="F1250" i="1" s="1"/>
  <c r="F379" i="1" a="1"/>
  <c r="F379" i="1" s="1"/>
  <c r="F1137" i="1" a="1"/>
  <c r="F1137" i="1" s="1"/>
  <c r="F598" i="1" a="1"/>
  <c r="F598" i="1" s="1"/>
  <c r="F858" i="1" a="1"/>
  <c r="F858" i="1" s="1"/>
  <c r="F291" i="1" a="1"/>
  <c r="F291" i="1" s="1"/>
  <c r="F325" i="1" a="1"/>
  <c r="F325" i="1" s="1"/>
  <c r="F1190" i="1" a="1"/>
  <c r="F1190" i="1" s="1"/>
  <c r="F546" i="1" a="1"/>
  <c r="F546" i="1" s="1"/>
  <c r="F40" i="1" a="1"/>
  <c r="F40" i="1" s="1"/>
  <c r="F802" i="1" a="1"/>
  <c r="F802" i="1" s="1"/>
  <c r="F984" i="1" a="1"/>
  <c r="F984" i="1" s="1"/>
  <c r="F1112" i="1" a="1"/>
  <c r="F1112" i="1" s="1"/>
  <c r="F1272" i="1" a="1"/>
  <c r="F1272" i="1" s="1"/>
  <c r="F1228" i="1" a="1"/>
  <c r="F1228" i="1" s="1"/>
  <c r="F948" i="1" a="1"/>
  <c r="F948" i="1" s="1"/>
  <c r="F35" i="1" a="1"/>
  <c r="F35" i="1" s="1"/>
  <c r="F374" i="1" a="1"/>
  <c r="F374" i="1" s="1"/>
  <c r="F831" i="1" a="1"/>
  <c r="F831" i="1" s="1"/>
  <c r="F1197" i="1" a="1"/>
  <c r="F1197" i="1" s="1"/>
  <c r="F1057" i="1" a="1"/>
  <c r="F1057" i="1" s="1"/>
  <c r="F8" i="1" a="1"/>
  <c r="F8" i="1" s="1"/>
  <c r="F467" i="1" a="1"/>
  <c r="F467" i="1" s="1"/>
  <c r="F743" i="1" a="1"/>
  <c r="F743" i="1" s="1"/>
  <c r="F1032" i="1" a="1"/>
  <c r="F1032" i="1" s="1"/>
  <c r="F375" i="1" a="1"/>
  <c r="F375" i="1" s="1"/>
  <c r="F724" i="1" a="1"/>
  <c r="F724" i="1" s="1"/>
  <c r="F418" i="1" a="1"/>
  <c r="F418" i="1" s="1"/>
  <c r="F368" i="1" a="1"/>
  <c r="F368" i="1" s="1"/>
  <c r="F780" i="1" a="1"/>
  <c r="F780" i="1" s="1"/>
  <c r="F584" i="1" a="1"/>
  <c r="F584" i="1" s="1"/>
  <c r="F820" i="1" a="1"/>
  <c r="F820" i="1" s="1"/>
  <c r="F1144" i="1" a="1"/>
  <c r="F1144" i="1" s="1"/>
  <c r="F814" i="1" a="1"/>
  <c r="F814" i="1" s="1"/>
  <c r="F263" i="1" a="1"/>
  <c r="F263" i="1" s="1"/>
  <c r="F159" i="1" a="1"/>
  <c r="F159" i="1" s="1"/>
  <c r="F591" i="1" a="1"/>
  <c r="F591" i="1" s="1"/>
  <c r="F1078" i="1" a="1"/>
  <c r="F1078" i="1" s="1"/>
  <c r="F235" i="1" a="1"/>
  <c r="F235" i="1" s="1"/>
  <c r="F980" i="1" a="1"/>
  <c r="F980" i="1" s="1"/>
  <c r="F1359" i="1" a="1"/>
  <c r="F1359" i="1" s="1"/>
  <c r="F1120" i="1" a="1"/>
  <c r="F1120" i="1" s="1"/>
  <c r="F406" i="1" a="1"/>
  <c r="F406" i="1" s="1"/>
  <c r="F308" i="1" a="1"/>
  <c r="F308" i="1" s="1"/>
  <c r="F1067" i="1" a="1"/>
  <c r="F1067" i="1" s="1"/>
  <c r="F721" i="1" a="1"/>
  <c r="F721" i="1" s="1"/>
  <c r="F816" i="1" a="1"/>
  <c r="F816" i="1" s="1"/>
  <c r="F924" i="1" a="1"/>
  <c r="F924" i="1" s="1"/>
  <c r="F370" i="1" a="1"/>
  <c r="F370" i="1" s="1"/>
  <c r="F543" i="1" a="1"/>
  <c r="F543" i="1" s="1"/>
  <c r="F243" i="1" a="1"/>
  <c r="F243" i="1" s="1"/>
  <c r="F404" i="1" a="1"/>
  <c r="F404" i="1" s="1"/>
  <c r="F873" i="1" a="1"/>
  <c r="F873" i="1" s="1"/>
  <c r="F1285" i="1" a="1"/>
  <c r="F1285" i="1" s="1"/>
  <c r="F577" i="1" a="1"/>
  <c r="F577" i="1" s="1"/>
  <c r="F1153" i="1" a="1"/>
  <c r="F1153" i="1" s="1"/>
  <c r="F1029" i="1" a="1"/>
  <c r="F1029" i="1" s="1"/>
  <c r="F942" i="1" a="1"/>
  <c r="F942" i="1" s="1"/>
  <c r="F286" i="1" a="1"/>
  <c r="F286" i="1" s="1"/>
  <c r="F756" i="1" a="1"/>
  <c r="F756" i="1" s="1"/>
  <c r="F1247" i="1" a="1"/>
  <c r="F1247" i="1" s="1"/>
  <c r="F493" i="1" a="1"/>
  <c r="F493" i="1" s="1"/>
  <c r="F1227" i="1" a="1"/>
  <c r="F1227" i="1" s="1"/>
  <c r="F1352" i="1" a="1"/>
  <c r="F1352" i="1" s="1"/>
  <c r="F242" i="1" a="1"/>
  <c r="F242" i="1" s="1"/>
  <c r="F1315" i="1" a="1"/>
  <c r="F1315" i="1" s="1"/>
  <c r="F230" i="1" a="1"/>
  <c r="F230" i="1" s="1"/>
  <c r="F1244" i="1" a="1"/>
  <c r="F1244" i="1" s="1"/>
  <c r="F667" i="1" a="1"/>
  <c r="F667" i="1" s="1"/>
  <c r="F116" i="1" a="1"/>
  <c r="F116" i="1" s="1"/>
  <c r="F782" i="1" a="1"/>
  <c r="F782" i="1" s="1"/>
  <c r="F66" i="1" a="1"/>
  <c r="F66" i="1" s="1"/>
  <c r="F805" i="1" a="1"/>
  <c r="F805" i="1" s="1"/>
  <c r="F692" i="1" a="1"/>
  <c r="F692" i="1" s="1"/>
  <c r="F430" i="1" a="1"/>
  <c r="F430" i="1" s="1"/>
  <c r="F1346" i="1" a="1"/>
  <c r="F1346" i="1" s="1"/>
  <c r="F941" i="1" a="1"/>
  <c r="F941" i="1" s="1"/>
  <c r="F982" i="1" a="1"/>
  <c r="F982" i="1" s="1"/>
  <c r="F377" i="1" a="1"/>
  <c r="F377" i="1" s="1"/>
  <c r="F1156" i="1" a="1"/>
  <c r="F1156" i="1" s="1"/>
  <c r="F1207" i="1" a="1"/>
  <c r="F1207" i="1" s="1"/>
  <c r="F727" i="1" a="1"/>
  <c r="F727" i="1" s="1"/>
  <c r="F504" i="1" a="1"/>
  <c r="F504" i="1" s="1"/>
  <c r="F994" i="1" a="1"/>
  <c r="F994" i="1" s="1"/>
  <c r="F471" i="1" a="1"/>
  <c r="F471" i="1" s="1"/>
  <c r="F112" i="1" a="1"/>
  <c r="F112" i="1" s="1"/>
  <c r="F278" i="1" a="1"/>
  <c r="F278" i="1" s="1"/>
  <c r="F106" i="1" a="1"/>
  <c r="F106" i="1" s="1"/>
  <c r="F1148" i="1" a="1"/>
  <c r="F1148" i="1" s="1"/>
  <c r="F865" i="1" a="1"/>
  <c r="F865" i="1" s="1"/>
  <c r="F294" i="1" a="1"/>
  <c r="F294" i="1" s="1"/>
  <c r="F1061" i="1" a="1"/>
  <c r="F1061" i="1" s="1"/>
  <c r="F221" i="1" a="1"/>
  <c r="F221" i="1" s="1"/>
  <c r="F870" i="1" a="1"/>
  <c r="F870" i="1" s="1"/>
  <c r="F697" i="1" a="1"/>
  <c r="F697" i="1" s="1"/>
  <c r="F792" i="1" a="1"/>
  <c r="F792" i="1" s="1"/>
  <c r="F322" i="1" a="1"/>
  <c r="F322" i="1" s="1"/>
  <c r="F1171" i="1" a="1"/>
  <c r="F1171" i="1" s="1"/>
  <c r="F1242" i="1" a="1"/>
  <c r="F1242" i="1" s="1"/>
  <c r="F1320" i="1" a="1"/>
  <c r="F1320" i="1" s="1"/>
  <c r="F511" i="1" a="1"/>
  <c r="F511" i="1" s="1"/>
  <c r="F436" i="1" a="1"/>
  <c r="F436" i="1" s="1"/>
  <c r="F1277" i="1" a="1"/>
  <c r="F1277" i="1" s="1"/>
  <c r="F1306" i="1" a="1"/>
  <c r="F1306" i="1" s="1"/>
  <c r="F1185" i="1" a="1"/>
  <c r="F1185" i="1" s="1"/>
  <c r="F45" i="1" a="1"/>
  <c r="F45" i="1" s="1"/>
  <c r="F1201" i="1" a="1"/>
  <c r="F1201" i="1" s="1"/>
  <c r="F617" i="1" a="1"/>
  <c r="F617" i="1" s="1"/>
  <c r="F1203" i="1" a="1"/>
  <c r="F1203" i="1" s="1"/>
  <c r="F482" i="1" a="1"/>
  <c r="F482" i="1" s="1"/>
  <c r="F17" i="1" a="1"/>
  <c r="F17" i="1" s="1"/>
  <c r="F336" i="1" a="1"/>
  <c r="F336" i="1" s="1"/>
  <c r="F205" i="1" a="1"/>
  <c r="F205" i="1" s="1"/>
  <c r="F54" i="1" a="1"/>
  <c r="F54" i="1" s="1"/>
  <c r="F1328" i="1" a="1"/>
  <c r="F1328" i="1" s="1"/>
  <c r="F1316" i="1" a="1"/>
  <c r="F1316" i="1" s="1"/>
  <c r="F659" i="1" a="1"/>
  <c r="F659" i="1" s="1"/>
  <c r="F946" i="1" a="1"/>
  <c r="F946" i="1" s="1"/>
  <c r="F530" i="1" a="1"/>
  <c r="F530" i="1" s="1"/>
  <c r="F779" i="1" a="1"/>
  <c r="F779" i="1" s="1"/>
  <c r="F1068" i="1" a="1"/>
  <c r="F1068" i="1" s="1"/>
  <c r="F43" i="1" a="1"/>
  <c r="F43" i="1" s="1"/>
  <c r="F722" i="1" a="1"/>
  <c r="F722" i="1" s="1"/>
  <c r="F800" i="1" a="1"/>
  <c r="F800" i="1" s="1"/>
  <c r="F1154" i="1" a="1"/>
  <c r="F1154" i="1" s="1"/>
  <c r="F648" i="1" a="1"/>
  <c r="F648" i="1" s="1"/>
  <c r="F1360" i="1" a="1"/>
  <c r="F1360" i="1" s="1"/>
  <c r="F682" i="1" a="1"/>
  <c r="F682" i="1" s="1"/>
  <c r="F1351" i="1" a="1"/>
  <c r="F1351" i="1" s="1"/>
  <c r="F698" i="1" a="1"/>
  <c r="F698" i="1" s="1"/>
  <c r="F279" i="1" a="1"/>
  <c r="F279" i="1" s="1"/>
  <c r="F355" i="1" a="1"/>
  <c r="F355" i="1" s="1"/>
  <c r="F512" i="1" a="1"/>
  <c r="F512" i="1" s="1"/>
  <c r="F619" i="1" a="1"/>
  <c r="F619" i="1" s="1"/>
  <c r="F284" i="1" a="1"/>
  <c r="F284" i="1" s="1"/>
  <c r="F933" i="1" a="1"/>
  <c r="F933" i="1" s="1"/>
  <c r="F1225" i="1" a="1"/>
  <c r="F1225" i="1" s="1"/>
  <c r="F1126" i="1" a="1"/>
  <c r="F1126" i="1" s="1"/>
  <c r="F1223" i="1" a="1"/>
  <c r="F1223" i="1" s="1"/>
  <c r="F84" i="1" a="1"/>
  <c r="F84" i="1" s="1"/>
  <c r="F528" i="1" a="1"/>
  <c r="F528" i="1" s="1"/>
  <c r="F422" i="1" a="1"/>
  <c r="F422" i="1" s="1"/>
  <c r="F18" i="1" a="1"/>
  <c r="F18" i="1" s="1"/>
  <c r="F383" i="1" a="1"/>
  <c r="F383" i="1" s="1"/>
  <c r="F829" i="1" a="1"/>
  <c r="F829" i="1" s="1"/>
  <c r="F566" i="1" a="1"/>
  <c r="F566" i="1" s="1"/>
  <c r="F117" i="1" a="1"/>
  <c r="F117" i="1" s="1"/>
  <c r="F273" i="1" a="1"/>
  <c r="F273" i="1" s="1"/>
  <c r="F50" i="1" a="1"/>
  <c r="F50" i="1" s="1"/>
  <c r="F424" i="1" a="1"/>
  <c r="F424" i="1" s="1"/>
  <c r="F99" i="1" a="1"/>
  <c r="F99" i="1" s="1"/>
  <c r="F965" i="1" a="1"/>
  <c r="F965" i="1" s="1"/>
  <c r="F843" i="1" a="1"/>
  <c r="F843" i="1" s="1"/>
  <c r="F668" i="1" a="1"/>
  <c r="F668" i="1" s="1"/>
  <c r="F699" i="1" a="1"/>
  <c r="F699" i="1" s="1"/>
  <c r="F1349" i="1" a="1"/>
  <c r="F1349" i="1" s="1"/>
  <c r="F1274" i="1" a="1"/>
  <c r="F1274" i="1" s="1"/>
  <c r="F737" i="1" a="1"/>
  <c r="F737" i="1" s="1"/>
  <c r="F938" i="1" a="1"/>
  <c r="F938" i="1" s="1"/>
  <c r="F1372" i="1" a="1"/>
  <c r="F1372" i="1" s="1"/>
  <c r="F1208" i="1" a="1"/>
  <c r="F1208" i="1" s="1"/>
  <c r="F710" i="1" a="1"/>
  <c r="F710" i="1" s="1"/>
  <c r="F797" i="1" a="1"/>
  <c r="F797" i="1" s="1"/>
  <c r="F954" i="1" a="1"/>
  <c r="F954" i="1" s="1"/>
  <c r="F38" i="1" a="1"/>
  <c r="F38" i="1" s="1"/>
  <c r="F16" i="1" a="1"/>
  <c r="F16" i="1" s="1"/>
  <c r="F505" i="1" a="1"/>
  <c r="F505" i="1" s="1"/>
  <c r="F1264" i="1" a="1"/>
  <c r="F1264" i="1" s="1"/>
  <c r="F329" i="1" a="1"/>
  <c r="F329" i="1" s="1"/>
  <c r="F206" i="1" a="1"/>
  <c r="F206" i="1" s="1"/>
  <c r="F1317" i="1" a="1"/>
  <c r="F1317" i="1" s="1"/>
  <c r="F199" i="1" a="1"/>
  <c r="F199" i="1" s="1"/>
  <c r="F568" i="1" a="1"/>
  <c r="F568" i="1" s="1"/>
  <c r="F77" i="1" a="1"/>
  <c r="F77" i="1" s="1"/>
  <c r="F346" i="1" a="1"/>
  <c r="F346" i="1" s="1"/>
  <c r="F1119" i="1" a="1"/>
  <c r="F1119" i="1" s="1"/>
  <c r="F1103" i="1" a="1"/>
  <c r="F1103" i="1" s="1"/>
  <c r="F541" i="1" a="1"/>
  <c r="F541" i="1" s="1"/>
  <c r="F80" i="1" a="1"/>
  <c r="F80" i="1" s="1"/>
  <c r="F1084" i="1" a="1"/>
  <c r="F1084" i="1" s="1"/>
  <c r="F394" i="1" a="1"/>
  <c r="F394" i="1" s="1"/>
  <c r="F770" i="1" a="1"/>
  <c r="F770" i="1" s="1"/>
  <c r="F825" i="1" a="1"/>
  <c r="F825" i="1" s="1"/>
  <c r="F70" i="1" a="1"/>
  <c r="F70" i="1" s="1"/>
  <c r="F869" i="1" a="1"/>
  <c r="F869" i="1" s="1"/>
  <c r="F385" i="1" a="1"/>
  <c r="F385" i="1" s="1"/>
  <c r="F1249" i="1" a="1"/>
  <c r="F1249" i="1" s="1"/>
  <c r="F14" i="1" a="1"/>
  <c r="F14" i="1" s="1"/>
  <c r="F299" i="1" a="1"/>
  <c r="F299" i="1" s="1"/>
  <c r="F1043" i="1" a="1"/>
  <c r="F1043" i="1" s="1"/>
  <c r="F187" i="1" a="1"/>
  <c r="F187" i="1" s="1"/>
  <c r="F1139" i="1" a="1"/>
  <c r="F1139" i="1" s="1"/>
  <c r="F190" i="1" a="1"/>
  <c r="F190" i="1" s="1"/>
  <c r="F522" i="1" a="1"/>
  <c r="F522" i="1" s="1"/>
  <c r="F269" i="1" a="1"/>
  <c r="F269" i="1" s="1"/>
  <c r="F1296" i="1" a="1"/>
  <c r="F1296" i="1" s="1"/>
  <c r="F109" i="1" a="1"/>
  <c r="F109" i="1" s="1"/>
  <c r="F661" i="1" a="1"/>
  <c r="F661" i="1" s="1"/>
  <c r="F663" i="1" a="1"/>
  <c r="F663" i="1" s="1"/>
  <c r="F839" i="1" a="1"/>
  <c r="F839" i="1" s="1"/>
  <c r="F1031" i="1" a="1"/>
  <c r="F1031" i="1" s="1"/>
  <c r="F1314" i="1" a="1"/>
  <c r="F1314" i="1" s="1"/>
  <c r="F707" i="1" a="1"/>
  <c r="F707" i="1" s="1"/>
  <c r="F714" i="1" a="1"/>
  <c r="F714" i="1" s="1"/>
  <c r="F956" i="1" a="1"/>
  <c r="F956" i="1" s="1"/>
  <c r="F1052" i="1" a="1"/>
  <c r="F1052" i="1" s="1"/>
  <c r="F1117" i="1" a="1"/>
  <c r="F1117" i="1" s="1"/>
  <c r="F1283" i="1" a="1"/>
  <c r="F1283" i="1" s="1"/>
  <c r="F1216" i="1" a="1"/>
  <c r="F1216" i="1" s="1"/>
  <c r="F1182" i="1" a="1"/>
  <c r="F1182" i="1" s="1"/>
  <c r="F402" i="1" a="1"/>
  <c r="F402" i="1" s="1"/>
  <c r="F1145" i="1" a="1"/>
  <c r="F1145" i="1" s="1"/>
  <c r="F272" i="1" a="1"/>
  <c r="F272" i="1" s="1"/>
  <c r="F410" i="1" a="1"/>
  <c r="F410" i="1" s="1"/>
  <c r="F632" i="1" a="1"/>
  <c r="F632" i="1" s="1"/>
  <c r="F1014" i="1" a="1"/>
  <c r="F1014" i="1" s="1"/>
  <c r="F358" i="1" a="1"/>
  <c r="F358" i="1" s="1"/>
  <c r="F289" i="1" a="1"/>
  <c r="F289" i="1" s="1"/>
  <c r="F241" i="1" a="1"/>
  <c r="F241" i="1" s="1"/>
  <c r="F1155" i="1" a="1"/>
  <c r="F1155" i="1" s="1"/>
  <c r="F1275" i="1" a="1"/>
  <c r="F1275" i="1" s="1"/>
  <c r="F634" i="1" a="1"/>
  <c r="F634" i="1" s="1"/>
  <c r="F517" i="1" a="1"/>
  <c r="F517" i="1" s="1"/>
  <c r="F57" i="1" a="1"/>
  <c r="F57" i="1" s="1"/>
  <c r="F180" i="1" a="1"/>
  <c r="F180" i="1" s="1"/>
  <c r="F292" i="1" a="1"/>
  <c r="F292" i="1" s="1"/>
  <c r="F641" i="1" a="1"/>
  <c r="F641" i="1" s="1"/>
  <c r="F1049" i="1" a="1"/>
  <c r="F1049" i="1" s="1"/>
  <c r="F33" i="1" a="1"/>
  <c r="F33" i="1" s="1"/>
  <c r="F233" i="1" a="1"/>
  <c r="F233" i="1" s="1"/>
  <c r="F859" i="1" a="1"/>
  <c r="F859" i="1" s="1"/>
  <c r="F1191" i="1" a="1"/>
  <c r="F1191" i="1" s="1"/>
  <c r="F479" i="1" a="1"/>
  <c r="F479" i="1" s="1"/>
  <c r="F309" i="1" a="1"/>
  <c r="F309" i="1" s="1"/>
  <c r="F125" i="1" a="1"/>
  <c r="F125" i="1" s="1"/>
  <c r="F439" i="1" a="1"/>
  <c r="F439" i="1" s="1"/>
  <c r="F848" i="1" a="1"/>
  <c r="F848" i="1" s="1"/>
  <c r="F1019" i="1" a="1"/>
  <c r="F1019" i="1" s="1"/>
  <c r="F979" i="1" a="1"/>
  <c r="F979" i="1" s="1"/>
  <c r="F222" i="1" a="1"/>
  <c r="F222" i="1" s="1"/>
  <c r="F162" i="1" a="1"/>
  <c r="F162" i="1" s="1"/>
  <c r="F208" i="1" a="1"/>
  <c r="F208" i="1" s="1"/>
  <c r="F326" i="1" a="1"/>
  <c r="F326" i="1" s="1"/>
  <c r="F1096" i="1" a="1"/>
  <c r="F1096" i="1" s="1"/>
  <c r="F212" i="1" a="1"/>
  <c r="F212" i="1" s="1"/>
  <c r="F930" i="1" a="1"/>
  <c r="F930" i="1" s="1"/>
  <c r="F334" i="1" a="1"/>
  <c r="F334" i="1" s="1"/>
  <c r="F1226" i="1" a="1"/>
  <c r="F1226" i="1" s="1"/>
  <c r="F794" i="1" a="1"/>
  <c r="F794" i="1" s="1"/>
  <c r="F761" i="1" a="1"/>
  <c r="F761" i="1" s="1"/>
  <c r="F60" i="1" a="1"/>
  <c r="F60" i="1" s="1"/>
  <c r="F688" i="1" a="1"/>
  <c r="F688" i="1" s="1"/>
  <c r="F1348" i="1" a="1"/>
  <c r="F1348" i="1" s="1"/>
  <c r="F1332" i="1" a="1"/>
  <c r="F1332" i="1" s="1"/>
  <c r="F612" i="1" a="1"/>
  <c r="F612" i="1" s="1"/>
  <c r="F975" i="1" a="1"/>
  <c r="F975" i="1" s="1"/>
  <c r="F310" i="1" a="1"/>
  <c r="F310" i="1" s="1"/>
  <c r="F669" i="1" a="1"/>
  <c r="F669" i="1" s="1"/>
  <c r="F126" i="1" a="1"/>
  <c r="F126" i="1" s="1"/>
  <c r="F359" i="1" a="1"/>
  <c r="F359" i="1" s="1"/>
  <c r="F542" i="1" a="1"/>
  <c r="F542" i="1" s="1"/>
  <c r="F776" i="1" a="1"/>
  <c r="F776" i="1" s="1"/>
  <c r="F604" i="1" a="1"/>
  <c r="F604" i="1" s="1"/>
  <c r="F1097" i="1" a="1"/>
  <c r="F1097" i="1" s="1"/>
  <c r="F219" i="1" a="1"/>
  <c r="F219" i="1" s="1"/>
  <c r="F629" i="1" a="1"/>
  <c r="F629" i="1" s="1"/>
  <c r="F990" i="1" a="1"/>
  <c r="F990" i="1" s="1"/>
  <c r="F630" i="1" a="1"/>
  <c r="F630" i="1" s="1"/>
  <c r="F1044" i="1" a="1"/>
  <c r="F1044" i="1" s="1"/>
  <c r="F936" i="1" a="1"/>
  <c r="F936" i="1" s="1"/>
  <c r="F971" i="1" a="1"/>
  <c r="F971" i="1" s="1"/>
  <c r="F553" i="1" a="1"/>
  <c r="F553" i="1" s="1"/>
  <c r="F227" i="1" a="1"/>
  <c r="F227" i="1" s="1"/>
  <c r="F1311" i="1" a="1"/>
  <c r="F1311" i="1" s="1"/>
  <c r="F1354" i="1" a="1"/>
  <c r="F1354" i="1" s="1"/>
  <c r="F1235" i="1" a="1"/>
  <c r="F1235" i="1" s="1"/>
  <c r="F1268" i="1" a="1"/>
  <c r="F1268" i="1" s="1"/>
  <c r="F623" i="1" a="1"/>
  <c r="F623" i="1" s="1"/>
  <c r="F1286" i="1" a="1"/>
  <c r="F1286" i="1" s="1"/>
  <c r="F1159" i="1" a="1"/>
  <c r="F1159" i="1" s="1"/>
  <c r="F903" i="1" a="1"/>
  <c r="F903" i="1" s="1"/>
  <c r="F821" i="1" a="1"/>
  <c r="F821" i="1" s="1"/>
  <c r="F173" i="1" a="1"/>
  <c r="F173" i="1" s="1"/>
  <c r="F264" i="1" a="1"/>
  <c r="F264" i="1" s="1"/>
  <c r="F767" i="1" a="1"/>
  <c r="F767" i="1" s="1"/>
  <c r="F300" i="1" a="1"/>
  <c r="F300" i="1" s="1"/>
  <c r="E300" i="1" a="1"/>
  <c r="E300" i="1" s="1"/>
  <c r="E25" i="1" a="1"/>
  <c r="E25" i="1" s="1"/>
  <c r="E676" i="1" a="1"/>
  <c r="E676" i="1" s="1"/>
  <c r="E432" i="1" a="1"/>
  <c r="E432" i="1" s="1"/>
  <c r="E700" i="1" a="1"/>
  <c r="E700" i="1" s="1"/>
  <c r="E1039" i="1" a="1"/>
  <c r="E1039" i="1" s="1"/>
  <c r="E1344" i="1" a="1"/>
  <c r="E1344" i="1" s="1"/>
  <c r="E635" i="1" a="1"/>
  <c r="E635" i="1" s="1"/>
  <c r="E837" i="1" a="1"/>
  <c r="E837" i="1" s="1"/>
  <c r="E748" i="1" a="1"/>
  <c r="E748" i="1" s="1"/>
  <c r="E885" i="1" a="1"/>
  <c r="E885" i="1" s="1"/>
  <c r="E1164" i="1" a="1"/>
  <c r="E1164" i="1" s="1"/>
  <c r="E588" i="1" a="1"/>
  <c r="E588" i="1" s="1"/>
  <c r="E304" i="1" a="1"/>
  <c r="E304" i="1" s="1"/>
  <c r="E496" i="1" a="1"/>
  <c r="E496" i="1" s="1"/>
  <c r="E312" i="1" a="1"/>
  <c r="E312" i="1" s="1"/>
  <c r="E164" i="1" a="1"/>
  <c r="E164" i="1" s="1"/>
  <c r="E1304" i="1" a="1"/>
  <c r="E1304" i="1" s="1"/>
  <c r="E1338" i="1" a="1"/>
  <c r="E1338" i="1" s="1"/>
  <c r="E570" i="1" a="1"/>
  <c r="E570" i="1" s="1"/>
  <c r="E1089" i="1" a="1"/>
  <c r="E1089" i="1" s="1"/>
  <c r="E434" i="1" a="1"/>
  <c r="E434" i="1" s="1"/>
  <c r="E708" i="1" a="1"/>
  <c r="E708" i="1" s="1"/>
  <c r="E378" i="1" a="1"/>
  <c r="E378" i="1" s="1"/>
  <c r="E71" i="1" a="1"/>
  <c r="E71" i="1" s="1"/>
  <c r="E450" i="1" a="1"/>
  <c r="E450" i="1" s="1"/>
  <c r="E429" i="1" a="1"/>
  <c r="E429" i="1" s="1"/>
  <c r="E633" i="1" a="1"/>
  <c r="E633" i="1" s="1"/>
  <c r="E316" i="1" a="1"/>
  <c r="E316" i="1" s="1"/>
  <c r="E449" i="1" a="1"/>
  <c r="E449" i="1" s="1"/>
  <c r="E201" i="1" a="1"/>
  <c r="E201" i="1" s="1"/>
  <c r="E1217" i="1" a="1"/>
  <c r="E1217" i="1" s="1"/>
  <c r="E850" i="1" a="1"/>
  <c r="E850" i="1" s="1"/>
  <c r="E703" i="1" a="1"/>
  <c r="E703" i="1" s="1"/>
  <c r="E1189" i="1" a="1"/>
  <c r="E1189" i="1" s="1"/>
  <c r="E695" i="1" a="1"/>
  <c r="E695" i="1" s="1"/>
  <c r="E1051" i="1" a="1"/>
  <c r="E1051" i="1" s="1"/>
  <c r="E640" i="1" a="1"/>
  <c r="E640" i="1" s="1"/>
  <c r="E1001" i="1" a="1"/>
  <c r="E1001" i="1" s="1"/>
  <c r="E271" i="1" a="1"/>
  <c r="E271" i="1" s="1"/>
  <c r="E660" i="1" a="1"/>
  <c r="E660" i="1" s="1"/>
  <c r="E914" i="1" a="1"/>
  <c r="E914" i="1" s="1"/>
  <c r="E719" i="1" a="1"/>
  <c r="E719" i="1" s="1"/>
  <c r="E901" i="1" a="1"/>
  <c r="E901" i="1" s="1"/>
  <c r="E176" i="1" a="1"/>
  <c r="E176" i="1" s="1"/>
  <c r="E557" i="1" a="1"/>
  <c r="E557" i="1" s="1"/>
  <c r="E463" i="1" a="1"/>
  <c r="E463" i="1" s="1"/>
  <c r="E1279" i="1" a="1"/>
  <c r="E1279" i="1" s="1"/>
  <c r="E1125" i="1" a="1"/>
  <c r="E1125" i="1" s="1"/>
  <c r="E753" i="1" a="1"/>
  <c r="E753" i="1" s="1"/>
  <c r="E456" i="1" a="1"/>
  <c r="E456" i="1" s="1"/>
  <c r="E919" i="1" a="1"/>
  <c r="E919" i="1" s="1"/>
  <c r="E1303" i="1" a="1"/>
  <c r="E1303" i="1" s="1"/>
  <c r="E73" i="1" a="1"/>
  <c r="E73" i="1" s="1"/>
  <c r="E888" i="1" a="1"/>
  <c r="E888" i="1" s="1"/>
  <c r="E320" i="1" a="1"/>
  <c r="E320" i="1" s="1"/>
  <c r="E464" i="1" a="1"/>
  <c r="E464" i="1" s="1"/>
  <c r="E457" i="1" a="1"/>
  <c r="E457" i="1" s="1"/>
  <c r="E26" i="1" a="1"/>
  <c r="E26" i="1" s="1"/>
  <c r="E931" i="1" a="1"/>
  <c r="E931" i="1" s="1"/>
  <c r="E277" i="1" a="1"/>
  <c r="E277" i="1" s="1"/>
  <c r="E704" i="1" a="1"/>
  <c r="E704" i="1" s="1"/>
  <c r="E905" i="1" a="1"/>
  <c r="E905" i="1" s="1"/>
  <c r="E772" i="1" a="1"/>
  <c r="E772" i="1" s="1"/>
  <c r="E202" i="1" a="1"/>
  <c r="E202" i="1" s="1"/>
  <c r="E1218" i="1" a="1"/>
  <c r="E1218" i="1" s="1"/>
  <c r="E1165" i="1" a="1"/>
  <c r="E1165" i="1" s="1"/>
  <c r="E886" i="1" a="1"/>
  <c r="E886" i="1" s="1"/>
  <c r="E589" i="1" a="1"/>
  <c r="E589" i="1" s="1"/>
  <c r="E750" i="1" a="1"/>
  <c r="E750" i="1" s="1"/>
  <c r="E585" i="1" a="1"/>
  <c r="E585" i="1" s="1"/>
  <c r="E1170" i="1" a="1"/>
  <c r="E1170" i="1" s="1"/>
  <c r="E516" i="1" a="1"/>
  <c r="E516" i="1" s="1"/>
  <c r="E174" i="1" a="1"/>
  <c r="E174" i="1" s="1"/>
  <c r="E513" i="1" a="1"/>
  <c r="E513" i="1" s="1"/>
  <c r="E1134" i="1" a="1"/>
  <c r="E1134" i="1" s="1"/>
  <c r="E130" i="1" a="1"/>
  <c r="E130" i="1" s="1"/>
  <c r="E918" i="1" a="1"/>
  <c r="E918" i="1" s="1"/>
  <c r="E658" i="1" a="1"/>
  <c r="E658" i="1" s="1"/>
  <c r="E928" i="1" a="1"/>
  <c r="E928" i="1" s="1"/>
  <c r="E571" i="1" a="1"/>
  <c r="E571" i="1" s="1"/>
  <c r="E1090" i="1" a="1"/>
  <c r="E1090" i="1" s="1"/>
  <c r="E435" i="1" a="1"/>
  <c r="E435" i="1" s="1"/>
  <c r="E46" i="1" a="1"/>
  <c r="E46" i="1" s="1"/>
  <c r="E614" i="1" a="1"/>
  <c r="E614" i="1" s="1"/>
  <c r="E102" i="1" a="1"/>
  <c r="E102" i="1" s="1"/>
  <c r="E1047" i="1" a="1"/>
  <c r="E1047" i="1" s="1"/>
  <c r="E1353" i="1" a="1"/>
  <c r="E1353" i="1" s="1"/>
  <c r="E966" i="1" a="1"/>
  <c r="E966" i="1" s="1"/>
  <c r="E1234" i="1" a="1"/>
  <c r="E1234" i="1" s="1"/>
  <c r="E1280" i="1" a="1"/>
  <c r="E1280" i="1" s="1"/>
  <c r="E501" i="1" a="1"/>
  <c r="E501" i="1" s="1"/>
  <c r="E1214" i="1" a="1"/>
  <c r="E1214" i="1" s="1"/>
  <c r="E899" i="1" a="1"/>
  <c r="E899" i="1" s="1"/>
  <c r="E290" i="1" a="1"/>
  <c r="E290" i="1" s="1"/>
  <c r="E968" i="1" a="1"/>
  <c r="E968" i="1" s="1"/>
  <c r="E1341" i="1" a="1"/>
  <c r="E1341" i="1" s="1"/>
  <c r="E1267" i="1" a="1"/>
  <c r="E1267" i="1" s="1"/>
  <c r="E879" i="1" a="1"/>
  <c r="E879" i="1" s="1"/>
  <c r="E1101" i="1" a="1"/>
  <c r="E1101" i="1" s="1"/>
  <c r="E733" i="1" a="1"/>
  <c r="E733" i="1" s="1"/>
  <c r="E593" i="1" a="1"/>
  <c r="E593" i="1" s="1"/>
  <c r="E266" i="1" a="1"/>
  <c r="E266" i="1" s="1"/>
  <c r="E519" i="1" a="1"/>
  <c r="E519" i="1" s="1"/>
  <c r="E741" i="1" a="1"/>
  <c r="E741" i="1" s="1"/>
  <c r="E1295" i="1" a="1"/>
  <c r="E1295" i="1" s="1"/>
  <c r="E789" i="1" a="1"/>
  <c r="E789" i="1" s="1"/>
  <c r="E1011" i="1" a="1"/>
  <c r="E1011" i="1" s="1"/>
  <c r="E554" i="1" a="1"/>
  <c r="E554" i="1" s="1"/>
  <c r="E555" i="1" a="1"/>
  <c r="E555" i="1" s="1"/>
  <c r="E745" i="1" a="1"/>
  <c r="E745" i="1" s="1"/>
  <c r="E360" i="1" a="1"/>
  <c r="E360" i="1" s="1"/>
  <c r="E1163" i="1" a="1"/>
  <c r="E1163" i="1" s="1"/>
  <c r="E39" i="1" a="1"/>
  <c r="E39" i="1" s="1"/>
  <c r="E156" i="1" a="1"/>
  <c r="E156" i="1" s="1"/>
  <c r="E224" i="1" a="1"/>
  <c r="E224" i="1" s="1"/>
  <c r="E382" i="1" a="1"/>
  <c r="E382" i="1" s="1"/>
  <c r="E67" i="1" a="1"/>
  <c r="E67" i="1" s="1"/>
  <c r="E916" i="1" a="1"/>
  <c r="E916" i="1" s="1"/>
  <c r="E651" i="1" a="1"/>
  <c r="E651" i="1" s="1"/>
  <c r="E666" i="1" a="1"/>
  <c r="E666" i="1" s="1"/>
  <c r="E1215" i="1" a="1"/>
  <c r="E1215" i="1" s="1"/>
  <c r="E742" i="1" a="1"/>
  <c r="E742" i="1" s="1"/>
  <c r="E521" i="1" a="1"/>
  <c r="E521" i="1" s="1"/>
  <c r="E189" i="1" a="1"/>
  <c r="E189" i="1" s="1"/>
  <c r="E268" i="1" a="1"/>
  <c r="E268" i="1" s="1"/>
  <c r="E637" i="1" a="1"/>
  <c r="E637" i="1" s="1"/>
  <c r="E876" i="1" a="1"/>
  <c r="E876" i="1" s="1"/>
  <c r="E185" i="1" a="1"/>
  <c r="E185" i="1" s="1"/>
  <c r="E920" i="1" a="1"/>
  <c r="E920" i="1" s="1"/>
  <c r="E1281" i="1" a="1"/>
  <c r="E1281" i="1" s="1"/>
  <c r="E1024" i="1" a="1"/>
  <c r="E1024" i="1" s="1"/>
  <c r="E149" i="1" a="1"/>
  <c r="E149" i="1" s="1"/>
  <c r="E1105" i="1" a="1"/>
  <c r="E1105" i="1" s="1"/>
  <c r="E343" i="1" a="1"/>
  <c r="E343" i="1" s="1"/>
  <c r="E313" i="1" a="1"/>
  <c r="E313" i="1" s="1"/>
  <c r="E211" i="1" a="1"/>
  <c r="E211" i="1" s="1"/>
  <c r="E929" i="1" a="1"/>
  <c r="E929" i="1" s="1"/>
  <c r="E535" i="1" a="1"/>
  <c r="E535" i="1" s="1"/>
  <c r="E1252" i="1" a="1"/>
  <c r="E1252" i="1" s="1"/>
  <c r="E121" i="1" a="1"/>
  <c r="E121" i="1" s="1"/>
  <c r="E921" i="1" a="1"/>
  <c r="E921" i="1" s="1"/>
  <c r="E170" i="1" a="1"/>
  <c r="E170" i="1" s="1"/>
  <c r="E826" i="1" a="1"/>
  <c r="E826" i="1" s="1"/>
  <c r="E490" i="1" a="1"/>
  <c r="E490" i="1" s="1"/>
  <c r="E105" i="1" a="1"/>
  <c r="E105" i="1" s="1"/>
  <c r="E689" i="1" a="1"/>
  <c r="E689" i="1" s="1"/>
  <c r="E1086" i="1" a="1"/>
  <c r="E1086" i="1" s="1"/>
  <c r="E1210" i="1" a="1"/>
  <c r="E1210" i="1" s="1"/>
  <c r="E1357" i="1" a="1"/>
  <c r="E1357" i="1" s="1"/>
  <c r="E255" i="1" a="1"/>
  <c r="E255" i="1" s="1"/>
  <c r="E671" i="1" a="1"/>
  <c r="E671" i="1" s="1"/>
  <c r="E1104" i="1" a="1"/>
  <c r="E1104" i="1" s="1"/>
  <c r="E104" i="1" a="1"/>
  <c r="E104" i="1" s="1"/>
  <c r="E1106" i="1" a="1"/>
  <c r="E1106" i="1" s="1"/>
  <c r="E387" i="1" a="1"/>
  <c r="E387" i="1" s="1"/>
  <c r="E282" i="1" a="1"/>
  <c r="E282" i="1" s="1"/>
  <c r="E1312" i="1" a="1"/>
  <c r="E1312" i="1" s="1"/>
  <c r="E5" i="1" a="1"/>
  <c r="E5" i="1" s="1"/>
  <c r="E417" i="1" a="1"/>
  <c r="E417" i="1" s="1"/>
  <c r="E140" i="1" a="1"/>
  <c r="E140" i="1" s="1"/>
  <c r="E97" i="1" a="1"/>
  <c r="E97" i="1" s="1"/>
  <c r="E973" i="1" a="1"/>
  <c r="E973" i="1" s="1"/>
  <c r="E1075" i="1" a="1"/>
  <c r="E1075" i="1" s="1"/>
  <c r="E460" i="1" a="1"/>
  <c r="E460" i="1" s="1"/>
  <c r="E960" i="1" a="1"/>
  <c r="E960" i="1" s="1"/>
  <c r="E169" i="1" a="1"/>
  <c r="E169" i="1" s="1"/>
  <c r="E1009" i="1" a="1"/>
  <c r="E1009" i="1" s="1"/>
  <c r="E1345" i="1" a="1"/>
  <c r="E1345" i="1" s="1"/>
  <c r="E184" i="1" a="1"/>
  <c r="E184" i="1" s="1"/>
  <c r="E1232" i="1" a="1"/>
  <c r="E1232" i="1" s="1"/>
  <c r="E587" i="1" a="1"/>
  <c r="E587" i="1" s="1"/>
  <c r="E1193" i="1" a="1"/>
  <c r="E1193" i="1" s="1"/>
  <c r="E1071" i="1" a="1"/>
  <c r="E1071" i="1" s="1"/>
  <c r="E168" i="1" a="1"/>
  <c r="E168" i="1" s="1"/>
  <c r="E875" i="1" a="1"/>
  <c r="E875" i="1" s="1"/>
  <c r="E709" i="1" a="1"/>
  <c r="E709" i="1" s="1"/>
  <c r="E534" i="1" a="1"/>
  <c r="E534" i="1" s="1"/>
  <c r="E524" i="1" a="1"/>
  <c r="E524" i="1" s="1"/>
  <c r="E36" i="1" a="1"/>
  <c r="E36" i="1" s="1"/>
  <c r="E1199" i="1" a="1"/>
  <c r="E1199" i="1" s="1"/>
  <c r="E139" i="1" a="1"/>
  <c r="E139" i="1" s="1"/>
  <c r="E1140" i="1" a="1"/>
  <c r="E1140" i="1" s="1"/>
  <c r="E203" i="1" a="1"/>
  <c r="E203" i="1" s="1"/>
  <c r="E515" i="1" a="1"/>
  <c r="E515" i="1" s="1"/>
  <c r="E626" i="1" a="1"/>
  <c r="E626" i="1" s="1"/>
  <c r="E297" i="1" a="1"/>
  <c r="E297" i="1" s="1"/>
  <c r="E1369" i="1" a="1"/>
  <c r="E1369" i="1" s="1"/>
  <c r="E1366" i="1" a="1"/>
  <c r="E1366" i="1" s="1"/>
  <c r="E158" i="1" a="1"/>
  <c r="E158" i="1" s="1"/>
  <c r="E188" i="1" a="1"/>
  <c r="E188" i="1" s="1"/>
  <c r="E760" i="1" a="1"/>
  <c r="E760" i="1" s="1"/>
  <c r="E366" i="1" a="1"/>
  <c r="E366" i="1" s="1"/>
  <c r="E773" i="1" a="1"/>
  <c r="E773" i="1" s="1"/>
  <c r="E763" i="1" a="1"/>
  <c r="E763" i="1" s="1"/>
  <c r="E317" i="1" a="1"/>
  <c r="E317" i="1" s="1"/>
  <c r="E1323" i="1" a="1"/>
  <c r="E1323" i="1" s="1"/>
  <c r="E94" i="1" a="1"/>
  <c r="E94" i="1" s="1"/>
  <c r="E267" i="1" a="1"/>
  <c r="E267" i="1" s="1"/>
  <c r="E520" i="1" a="1"/>
  <c r="E520" i="1" s="1"/>
  <c r="E1269" i="1" a="1"/>
  <c r="E1269" i="1" s="1"/>
  <c r="E696" i="1" a="1"/>
  <c r="E696" i="1" s="1"/>
  <c r="E151" i="1" a="1"/>
  <c r="E151" i="1" s="1"/>
  <c r="E6" i="1" a="1"/>
  <c r="E6" i="1" s="1"/>
  <c r="E1339" i="1" a="1"/>
  <c r="E1339" i="1" s="1"/>
  <c r="E1336" i="1" a="1"/>
  <c r="E1336" i="1" s="1"/>
  <c r="E76" i="1" a="1"/>
  <c r="E76" i="1" s="1"/>
  <c r="E548" i="1" a="1"/>
  <c r="E548" i="1" s="1"/>
  <c r="E1081" i="1" a="1"/>
  <c r="E1081" i="1" s="1"/>
  <c r="E261" i="1" a="1"/>
  <c r="E261" i="1" s="1"/>
  <c r="E350" i="1" a="1"/>
  <c r="E350" i="1" s="1"/>
  <c r="E177" i="1" a="1"/>
  <c r="E177" i="1" s="1"/>
  <c r="E197" i="1" a="1"/>
  <c r="E197" i="1" s="1"/>
  <c r="E488" i="1" a="1"/>
  <c r="E488" i="1" s="1"/>
  <c r="E877" i="1" a="1"/>
  <c r="E877" i="1" s="1"/>
  <c r="E391" i="1" a="1"/>
  <c r="E391" i="1" s="1"/>
  <c r="E81" i="1" a="1"/>
  <c r="E81" i="1" s="1"/>
  <c r="E1036" i="1" a="1"/>
  <c r="E1036" i="1" s="1"/>
  <c r="E324" i="1" a="1"/>
  <c r="E324" i="1" s="1"/>
  <c r="E426" i="1" a="1"/>
  <c r="E426" i="1" s="1"/>
  <c r="E788" i="1" a="1"/>
  <c r="E788" i="1" s="1"/>
  <c r="E811" i="1" a="1"/>
  <c r="E811" i="1" s="1"/>
  <c r="E1088" i="1" a="1"/>
  <c r="E1088" i="1" s="1"/>
  <c r="E998" i="1" a="1"/>
  <c r="E998" i="1" s="1"/>
  <c r="E758" i="1" a="1"/>
  <c r="E758" i="1" s="1"/>
  <c r="E969" i="1" a="1"/>
  <c r="E969" i="1" s="1"/>
  <c r="E926" i="1" a="1"/>
  <c r="E926" i="1" s="1"/>
  <c r="E1141" i="1" a="1"/>
  <c r="E1141" i="1" s="1"/>
  <c r="E182" i="1" a="1"/>
  <c r="E182" i="1" s="1"/>
  <c r="E287" i="1" a="1"/>
  <c r="E287" i="1" s="1"/>
  <c r="E59" i="1" a="1"/>
  <c r="E59" i="1" s="1"/>
  <c r="E790" i="1" a="1"/>
  <c r="E790" i="1" s="1"/>
  <c r="E1276" i="1" a="1"/>
  <c r="E1276" i="1" s="1"/>
  <c r="E687" i="1" a="1"/>
  <c r="E687" i="1" s="1"/>
  <c r="E1087" i="1" a="1"/>
  <c r="E1087" i="1" s="1"/>
  <c r="E1080" i="1" a="1"/>
  <c r="E1080" i="1" s="1"/>
  <c r="E69" i="1" a="1"/>
  <c r="E69" i="1" s="1"/>
  <c r="E532" i="1" a="1"/>
  <c r="E532" i="1" s="1"/>
  <c r="E959" i="1" a="1"/>
  <c r="E959" i="1" s="1"/>
  <c r="E461" i="1" a="1"/>
  <c r="E461" i="1" s="1"/>
  <c r="E484" i="1" a="1"/>
  <c r="E484" i="1" s="1"/>
  <c r="E11" i="1" a="1"/>
  <c r="E11" i="1" s="1"/>
  <c r="E824" i="1" a="1"/>
  <c r="E824" i="1" s="1"/>
  <c r="E365" i="1" a="1"/>
  <c r="E365" i="1" s="1"/>
  <c r="E806" i="1" a="1"/>
  <c r="E806" i="1" s="1"/>
  <c r="E706" i="1" a="1"/>
  <c r="E706" i="1" s="1"/>
  <c r="E1179" i="1" a="1"/>
  <c r="E1179" i="1" s="1"/>
  <c r="E1015" i="1" a="1"/>
  <c r="E1015" i="1" s="1"/>
  <c r="E1213" i="1" a="1"/>
  <c r="E1213" i="1" s="1"/>
  <c r="E677" i="1" a="1"/>
  <c r="E677" i="1" s="1"/>
  <c r="E285" i="1" a="1"/>
  <c r="E285" i="1" s="1"/>
  <c r="E1206" i="1" a="1"/>
  <c r="E1206" i="1" s="1"/>
  <c r="E476" i="1" a="1"/>
  <c r="E476" i="1" s="1"/>
  <c r="E594" i="1" a="1"/>
  <c r="E594" i="1" s="1"/>
  <c r="E988" i="1" a="1"/>
  <c r="E988" i="1" s="1"/>
  <c r="E239" i="1" a="1"/>
  <c r="E239" i="1" s="1"/>
  <c r="E31" i="1" a="1"/>
  <c r="E31" i="1" s="1"/>
  <c r="E167" i="1" a="1"/>
  <c r="E167" i="1" s="1"/>
  <c r="E908" i="1" a="1"/>
  <c r="E908" i="1" s="1"/>
  <c r="E193" i="1" a="1"/>
  <c r="E193" i="1" s="1"/>
  <c r="E344" i="1" a="1"/>
  <c r="E344" i="1" s="1"/>
  <c r="E781" i="1" a="1"/>
  <c r="E781" i="1" s="1"/>
  <c r="E813" i="1" a="1"/>
  <c r="E813" i="1" s="1"/>
  <c r="E705" i="1" a="1"/>
  <c r="E705" i="1" s="1"/>
  <c r="E562" i="1" a="1"/>
  <c r="E562" i="1" s="1"/>
  <c r="E1256" i="1" a="1"/>
  <c r="E1256" i="1" s="1"/>
  <c r="E145" i="1" a="1"/>
  <c r="E145" i="1" s="1"/>
  <c r="E1006" i="1" a="1"/>
  <c r="E1006" i="1" s="1"/>
  <c r="E574" i="1" a="1"/>
  <c r="E574" i="1" s="1"/>
  <c r="E1150" i="1" a="1"/>
  <c r="E1150" i="1" s="1"/>
  <c r="E1100" i="1" a="1"/>
  <c r="E1100" i="1" s="1"/>
  <c r="E1023" i="1" a="1"/>
  <c r="E1023" i="1" s="1"/>
  <c r="E1109" i="1" a="1"/>
  <c r="E1109" i="1" s="1"/>
  <c r="E1212" i="1" a="1"/>
  <c r="E1212" i="1" s="1"/>
  <c r="E827" i="1" a="1"/>
  <c r="E827" i="1" s="1"/>
  <c r="E883" i="1" a="1"/>
  <c r="E883" i="1" s="1"/>
  <c r="E913" i="1" a="1"/>
  <c r="E913" i="1" s="1"/>
  <c r="E823" i="1" a="1"/>
  <c r="E823" i="1" s="1"/>
  <c r="E364" i="1" a="1"/>
  <c r="E364" i="1" s="1"/>
  <c r="E778" i="1" a="1"/>
  <c r="E778" i="1" s="1"/>
  <c r="E1030" i="1" a="1"/>
  <c r="E1030" i="1" s="1"/>
  <c r="E1350" i="1" a="1"/>
  <c r="E1350" i="1" s="1"/>
  <c r="E911" i="1" a="1"/>
  <c r="E911" i="1" s="1"/>
  <c r="E657" i="1" a="1"/>
  <c r="E657" i="1" s="1"/>
  <c r="E143" i="1" a="1"/>
  <c r="E143" i="1" s="1"/>
  <c r="E1045" i="1" a="1"/>
  <c r="E1045" i="1" s="1"/>
  <c r="E610" i="1" a="1"/>
  <c r="E610" i="1" s="1"/>
  <c r="E801" i="1" a="1"/>
  <c r="E801" i="1" s="1"/>
  <c r="E96" i="1" a="1"/>
  <c r="E96" i="1" s="1"/>
  <c r="E179" i="1" a="1"/>
  <c r="E179" i="1" s="1"/>
  <c r="E86" i="1" a="1"/>
  <c r="E86" i="1" s="1"/>
  <c r="E34" i="1" a="1"/>
  <c r="E34" i="1" s="1"/>
  <c r="E856" i="1" a="1"/>
  <c r="E856" i="1" s="1"/>
  <c r="E1050" i="1" a="1"/>
  <c r="E1050" i="1" s="1"/>
  <c r="E680" i="1" a="1"/>
  <c r="E680" i="1" s="1"/>
  <c r="E932" i="1" a="1"/>
  <c r="E932" i="1" s="1"/>
  <c r="E371" i="1" a="1"/>
  <c r="E371" i="1" s="1"/>
  <c r="E356" i="1" a="1"/>
  <c r="E356" i="1" s="1"/>
  <c r="E1224" i="1" a="1"/>
  <c r="E1224" i="1" s="1"/>
  <c r="E1358" i="1" a="1"/>
  <c r="E1358" i="1" s="1"/>
  <c r="E293" i="1" a="1"/>
  <c r="E293" i="1" s="1"/>
  <c r="E1231" i="1" a="1"/>
  <c r="E1231" i="1" s="1"/>
  <c r="E1058" i="1" a="1"/>
  <c r="E1058" i="1" s="1"/>
  <c r="E1169" i="1" a="1"/>
  <c r="E1169" i="1" s="1"/>
  <c r="E85" i="1" a="1"/>
  <c r="E85" i="1" s="1"/>
  <c r="E1255" i="1" a="1"/>
  <c r="E1255" i="1" s="1"/>
  <c r="E144" i="1" a="1"/>
  <c r="E144" i="1" s="1"/>
  <c r="E420" i="1" a="1"/>
  <c r="E420" i="1" s="1"/>
  <c r="E1079" i="1" a="1"/>
  <c r="E1079" i="1" s="1"/>
  <c r="E425" i="1" a="1"/>
  <c r="E425" i="1" s="1"/>
  <c r="E1229" i="1" a="1"/>
  <c r="E1229" i="1" s="1"/>
  <c r="E986" i="1" a="1"/>
  <c r="E986" i="1" s="1"/>
  <c r="E348" i="1" a="1"/>
  <c r="E348" i="1" s="1"/>
  <c r="E1288" i="1" a="1"/>
  <c r="E1288" i="1" s="1"/>
  <c r="E618" i="1" a="1"/>
  <c r="E618" i="1" s="1"/>
  <c r="E605" i="1" a="1"/>
  <c r="E605" i="1" s="1"/>
  <c r="E30" i="1" a="1"/>
  <c r="E30" i="1" s="1"/>
  <c r="E340" i="1" a="1"/>
  <c r="E340" i="1" s="1"/>
  <c r="E1113" i="1" a="1"/>
  <c r="E1113" i="1" s="1"/>
  <c r="E24" i="1" a="1"/>
  <c r="E24" i="1" s="1"/>
  <c r="E675" i="1" a="1"/>
  <c r="E675" i="1" s="1"/>
  <c r="E1205" i="1" a="1"/>
  <c r="E1205" i="1" s="1"/>
  <c r="E1321" i="1" a="1"/>
  <c r="E1321" i="1" s="1"/>
  <c r="E171" i="1" a="1"/>
  <c r="E171" i="1" s="1"/>
  <c r="E252" i="1" a="1"/>
  <c r="E252" i="1" s="1"/>
  <c r="E1240" i="1" a="1"/>
  <c r="E1240" i="1" s="1"/>
  <c r="E729" i="1" a="1"/>
  <c r="E729" i="1" s="1"/>
  <c r="E1361" i="1" a="1"/>
  <c r="E1361" i="1" s="1"/>
  <c r="E64" i="1" a="1"/>
  <c r="E64" i="1" s="1"/>
  <c r="E42" i="1" a="1"/>
  <c r="E42" i="1" s="1"/>
  <c r="E799" i="1" a="1"/>
  <c r="E799" i="1" s="1"/>
  <c r="E119" i="1" a="1"/>
  <c r="E119" i="1" s="1"/>
  <c r="E1091" i="1" a="1"/>
  <c r="E1091" i="1" s="1"/>
  <c r="E389" i="1" a="1"/>
  <c r="E389" i="1" s="1"/>
  <c r="E715" i="1" a="1"/>
  <c r="E715" i="1" s="1"/>
  <c r="E195" i="1" a="1"/>
  <c r="E195" i="1" s="1"/>
  <c r="E1130" i="1" a="1"/>
  <c r="E1130" i="1" s="1"/>
  <c r="E4" i="1" a="1"/>
  <c r="E4" i="1" s="1"/>
  <c r="E443" i="1" a="1"/>
  <c r="E443" i="1" s="1"/>
  <c r="E234" i="1" a="1"/>
  <c r="E234" i="1" s="1"/>
  <c r="E1095" i="1" a="1"/>
  <c r="E1095" i="1" s="1"/>
  <c r="E784" i="1" a="1"/>
  <c r="E784" i="1" s="1"/>
  <c r="E1293" i="1" a="1"/>
  <c r="E1293" i="1" s="1"/>
  <c r="E1258" i="1" a="1"/>
  <c r="E1258" i="1" s="1"/>
  <c r="E575" i="1" a="1"/>
  <c r="E575" i="1" s="1"/>
  <c r="E832" i="1" a="1"/>
  <c r="E832" i="1" s="1"/>
  <c r="E401" i="1" a="1"/>
  <c r="E401" i="1" s="1"/>
  <c r="E803" i="1" a="1"/>
  <c r="E803" i="1" s="1"/>
  <c r="E1198" i="1" a="1"/>
  <c r="E1198" i="1" s="1"/>
  <c r="E319" i="1" a="1"/>
  <c r="E319" i="1" s="1"/>
  <c r="E974" i="1" a="1"/>
  <c r="E974" i="1" s="1"/>
  <c r="E751" i="1" a="1"/>
  <c r="E751" i="1" s="1"/>
  <c r="E944" i="1" a="1"/>
  <c r="E944" i="1" s="1"/>
  <c r="E302" i="1" a="1"/>
  <c r="E302" i="1" s="1"/>
  <c r="E441" i="1" a="1"/>
  <c r="E441" i="1" s="1"/>
  <c r="E1167" i="1" a="1"/>
  <c r="E1167" i="1" s="1"/>
  <c r="E1076" i="1" a="1"/>
  <c r="E1076" i="1" s="1"/>
  <c r="E1027" i="1" a="1"/>
  <c r="E1027" i="1" s="1"/>
  <c r="E395" i="1" a="1"/>
  <c r="E395" i="1" s="1"/>
  <c r="E1333" i="1" a="1"/>
  <c r="E1333" i="1" s="1"/>
  <c r="E949" i="1" a="1"/>
  <c r="E949" i="1" s="1"/>
  <c r="E1324" i="1" a="1"/>
  <c r="E1324" i="1" s="1"/>
  <c r="E537" i="1" a="1"/>
  <c r="E537" i="1" s="1"/>
  <c r="E1055" i="1" a="1"/>
  <c r="E1055" i="1" s="1"/>
  <c r="E606" i="1" a="1"/>
  <c r="E606" i="1" s="1"/>
  <c r="E7" i="1" a="1"/>
  <c r="E7" i="1" s="1"/>
  <c r="E218" i="1" a="1"/>
  <c r="E218" i="1" s="1"/>
  <c r="E153" i="1" a="1"/>
  <c r="E153" i="1" s="1"/>
  <c r="E628" i="1" a="1"/>
  <c r="E628" i="1" s="1"/>
  <c r="E608" i="1" a="1"/>
  <c r="E608" i="1" s="1"/>
  <c r="E353" i="1" a="1"/>
  <c r="E353" i="1" s="1"/>
  <c r="E1318" i="1" a="1"/>
  <c r="E1318" i="1" s="1"/>
  <c r="E1063" i="1" a="1"/>
  <c r="E1063" i="1" s="1"/>
  <c r="E1173" i="1" a="1"/>
  <c r="E1173" i="1" s="1"/>
  <c r="E976" i="1" a="1"/>
  <c r="E976" i="1" s="1"/>
  <c r="E970" i="1" a="1"/>
  <c r="E970" i="1" s="1"/>
  <c r="E935" i="1" a="1"/>
  <c r="E935" i="1" s="1"/>
  <c r="E639" i="1" a="1"/>
  <c r="E639" i="1" s="1"/>
  <c r="E1290" i="1" a="1"/>
  <c r="E1290" i="1" s="1"/>
  <c r="E1053" i="1" a="1"/>
  <c r="E1053" i="1" s="1"/>
  <c r="E740" i="1" a="1"/>
  <c r="E740" i="1" s="1"/>
  <c r="E37" i="1" a="1"/>
  <c r="E37" i="1" s="1"/>
  <c r="E1180" i="1" a="1"/>
  <c r="E1180" i="1" s="1"/>
  <c r="E565" i="1" a="1"/>
  <c r="E565" i="1" s="1"/>
  <c r="E862" i="1" a="1"/>
  <c r="E862" i="1" s="1"/>
  <c r="E855" i="1" a="1"/>
  <c r="E855" i="1" s="1"/>
  <c r="E1310" i="1" a="1"/>
  <c r="E1310" i="1" s="1"/>
  <c r="E23" i="1" a="1"/>
  <c r="E23" i="1" s="1"/>
  <c r="E1342" i="1" a="1"/>
  <c r="E1342" i="1" s="1"/>
  <c r="E1237" i="1" a="1"/>
  <c r="E1237" i="1" s="1"/>
  <c r="E250" i="1" a="1"/>
  <c r="E250" i="1" s="1"/>
  <c r="E576" i="1" a="1"/>
  <c r="E576" i="1" s="1"/>
  <c r="E1356" i="1" a="1"/>
  <c r="E1356" i="1" s="1"/>
  <c r="E1347" i="1" a="1"/>
  <c r="E1347" i="1" s="1"/>
  <c r="E985" i="1" a="1"/>
  <c r="E985" i="1" s="1"/>
  <c r="E254" i="1" a="1"/>
  <c r="E254" i="1" s="1"/>
  <c r="E572" i="1" a="1"/>
  <c r="E572" i="1" s="1"/>
  <c r="E846" i="1" a="1"/>
  <c r="E846" i="1" s="1"/>
  <c r="E1308" i="1" a="1"/>
  <c r="E1308" i="1" s="1"/>
  <c r="E978" i="1" a="1"/>
  <c r="E978" i="1" s="1"/>
  <c r="E1017" i="1" a="1"/>
  <c r="E1017" i="1" s="1"/>
  <c r="E607" i="1" a="1"/>
  <c r="E607" i="1" s="1"/>
  <c r="E1059" i="1" a="1"/>
  <c r="E1059" i="1" s="1"/>
  <c r="E1284" i="1" a="1"/>
  <c r="E1284" i="1" s="1"/>
  <c r="E1340" i="1" a="1"/>
  <c r="E1340" i="1" s="1"/>
  <c r="E61" i="1" a="1"/>
  <c r="E61" i="1" s="1"/>
  <c r="E559" i="1" a="1"/>
  <c r="E559" i="1" s="1"/>
  <c r="E1187" i="1" a="1"/>
  <c r="E1187" i="1" s="1"/>
  <c r="E127" i="1" a="1"/>
  <c r="E127" i="1" s="1"/>
  <c r="E795" i="1" a="1"/>
  <c r="E795" i="1" s="1"/>
  <c r="E1211" i="1" a="1"/>
  <c r="E1211" i="1" s="1"/>
  <c r="E1309" i="1" a="1"/>
  <c r="E1309" i="1" s="1"/>
  <c r="E12" i="1" a="1"/>
  <c r="E12" i="1" s="1"/>
  <c r="E1135" i="1" a="1"/>
  <c r="E1135" i="1" s="1"/>
  <c r="E363" i="1" a="1"/>
  <c r="E363" i="1" s="1"/>
  <c r="E172" i="1" a="1"/>
  <c r="E172" i="1" s="1"/>
  <c r="E561" i="1" a="1"/>
  <c r="E561" i="1" s="1"/>
  <c r="E256" i="1" a="1"/>
  <c r="E256" i="1" s="1"/>
  <c r="E638" i="1" a="1"/>
  <c r="E638" i="1" s="1"/>
  <c r="E739" i="1" a="1"/>
  <c r="E739" i="1" s="1"/>
  <c r="E1038" i="1" a="1"/>
  <c r="E1038" i="1" s="1"/>
  <c r="E731" i="1" a="1"/>
  <c r="E731" i="1" s="1"/>
  <c r="E852" i="1" a="1"/>
  <c r="E852" i="1" s="1"/>
  <c r="E578" i="1" a="1"/>
  <c r="E578" i="1" s="1"/>
  <c r="E82" i="1" a="1"/>
  <c r="E82" i="1" s="1"/>
  <c r="E650" i="1" a="1"/>
  <c r="E650" i="1" s="1"/>
  <c r="E295" i="1" a="1"/>
  <c r="E295" i="1" s="1"/>
  <c r="E744" i="1" a="1"/>
  <c r="E744" i="1" s="1"/>
  <c r="E259" i="1" a="1"/>
  <c r="E259" i="1" s="1"/>
  <c r="E477" i="1" a="1"/>
  <c r="E477" i="1" s="1"/>
  <c r="E664" i="1" a="1"/>
  <c r="E664" i="1" s="1"/>
  <c r="E1069" i="1" a="1"/>
  <c r="E1069" i="1" s="1"/>
  <c r="E384" i="1" a="1"/>
  <c r="E384" i="1" s="1"/>
  <c r="E717" i="1" a="1"/>
  <c r="E717" i="1" s="1"/>
  <c r="E178" i="1" a="1"/>
  <c r="E178" i="1" s="1"/>
  <c r="E1077" i="1" a="1"/>
  <c r="E1077" i="1" s="1"/>
  <c r="E647" i="1" a="1"/>
  <c r="E647" i="1" s="1"/>
  <c r="E216" i="1" a="1"/>
  <c r="E216" i="1" s="1"/>
  <c r="E691" i="1" a="1"/>
  <c r="E691" i="1" s="1"/>
  <c r="E1128" i="1" a="1"/>
  <c r="E1128" i="1" s="1"/>
  <c r="E581" i="1" a="1"/>
  <c r="E581" i="1" s="1"/>
  <c r="E160" i="1" a="1"/>
  <c r="E160" i="1" s="1"/>
  <c r="E884" i="1" a="1"/>
  <c r="E884" i="1" s="1"/>
  <c r="E830" i="1" a="1"/>
  <c r="E830" i="1" s="1"/>
  <c r="E582" i="1" a="1"/>
  <c r="E582" i="1" s="1"/>
  <c r="E828" i="1" a="1"/>
  <c r="E828" i="1" s="1"/>
  <c r="E1098" i="1" a="1"/>
  <c r="E1098" i="1" s="1"/>
  <c r="E953" i="1" a="1"/>
  <c r="E953" i="1" s="1"/>
  <c r="E486" i="1" a="1"/>
  <c r="E486" i="1" s="1"/>
  <c r="E838" i="1" a="1"/>
  <c r="E838" i="1" s="1"/>
  <c r="E631" i="1" a="1"/>
  <c r="E631" i="1" s="1"/>
  <c r="E818" i="1" a="1"/>
  <c r="E818" i="1" s="1"/>
  <c r="E451" i="1" a="1"/>
  <c r="E451" i="1" s="1"/>
  <c r="E1002" i="1" a="1"/>
  <c r="E1002" i="1" s="1"/>
  <c r="E183" i="1" a="1"/>
  <c r="E183" i="1" s="1"/>
  <c r="E539" i="1" a="1"/>
  <c r="E539" i="1" s="1"/>
  <c r="E423" i="1" a="1"/>
  <c r="E423" i="1" s="1"/>
  <c r="E108" i="1" a="1"/>
  <c r="E108" i="1" s="1"/>
  <c r="E834" i="1" a="1"/>
  <c r="E834" i="1" s="1"/>
  <c r="E662" i="1" a="1"/>
  <c r="E662" i="1" s="1"/>
  <c r="E812" i="1" a="1"/>
  <c r="E812" i="1" s="1"/>
  <c r="E161" i="1" a="1"/>
  <c r="E161" i="1" s="1"/>
  <c r="E1142" i="1" a="1"/>
  <c r="E1142" i="1" s="1"/>
  <c r="E636" i="1" a="1"/>
  <c r="E636" i="1" s="1"/>
  <c r="E1003" i="1" a="1"/>
  <c r="E1003" i="1" s="1"/>
  <c r="E766" i="1" a="1"/>
  <c r="E766" i="1" s="1"/>
  <c r="E1271" i="1" a="1"/>
  <c r="E1271" i="1" s="1"/>
  <c r="E904" i="1" a="1"/>
  <c r="E904" i="1" s="1"/>
  <c r="E194" i="1" a="1"/>
  <c r="E194" i="1" s="1"/>
  <c r="E672" i="1" a="1"/>
  <c r="E672" i="1" s="1"/>
  <c r="E1010" i="1" a="1"/>
  <c r="E1010" i="1" s="1"/>
  <c r="E351" i="1" a="1"/>
  <c r="E351" i="1" s="1"/>
  <c r="E1289" i="1" a="1"/>
  <c r="E1289" i="1" s="1"/>
  <c r="E603" i="1" a="1"/>
  <c r="E603" i="1" s="1"/>
  <c r="E89" i="1" a="1"/>
  <c r="E89" i="1" s="1"/>
  <c r="E231" i="1" a="1"/>
  <c r="E231" i="1" s="1"/>
  <c r="E470" i="1" a="1"/>
  <c r="E470" i="1" s="1"/>
  <c r="E367" i="1" a="1"/>
  <c r="E367" i="1" s="1"/>
  <c r="E328" i="1" a="1"/>
  <c r="E328" i="1" s="1"/>
  <c r="E1161" i="1" a="1"/>
  <c r="E1161" i="1" s="1"/>
  <c r="E1239" i="1" a="1"/>
  <c r="E1239" i="1" s="1"/>
  <c r="E1026" i="1" a="1"/>
  <c r="E1026" i="1" s="1"/>
  <c r="E992" i="1" a="1"/>
  <c r="E992" i="1" s="1"/>
  <c r="E83" i="1" a="1"/>
  <c r="E83" i="1" s="1"/>
  <c r="E694" i="1" a="1"/>
  <c r="E694" i="1" s="1"/>
  <c r="E1176" i="1" a="1"/>
  <c r="E1176" i="1" s="1"/>
  <c r="E1021" i="1" a="1"/>
  <c r="E1021" i="1" s="1"/>
  <c r="E569" i="1" a="1"/>
  <c r="E569" i="1" s="1"/>
  <c r="E1183" i="1" a="1"/>
  <c r="E1183" i="1" s="1"/>
  <c r="E1325" i="1" a="1"/>
  <c r="E1325" i="1" s="1"/>
  <c r="E217" i="1" a="1"/>
  <c r="E217" i="1" s="1"/>
  <c r="E989" i="1" a="1"/>
  <c r="E989" i="1" s="1"/>
  <c r="E627" i="1" a="1"/>
  <c r="E627" i="1" s="1"/>
  <c r="E1143" i="1" a="1"/>
  <c r="E1143" i="1" s="1"/>
  <c r="E586" i="1" a="1"/>
  <c r="E586" i="1" s="1"/>
  <c r="E453" i="1" a="1"/>
  <c r="E453" i="1" s="1"/>
  <c r="E1136" i="1" a="1"/>
  <c r="E1136" i="1" s="1"/>
  <c r="E775" i="1" a="1"/>
  <c r="E775" i="1" s="1"/>
  <c r="E396" i="1" a="1"/>
  <c r="E396" i="1" s="1"/>
  <c r="E602" i="1" a="1"/>
  <c r="E602" i="1" s="1"/>
  <c r="E951" i="1" a="1"/>
  <c r="E951" i="1" s="1"/>
  <c r="E625" i="1" a="1"/>
  <c r="E625" i="1" s="1"/>
  <c r="E288" i="1" a="1"/>
  <c r="E288" i="1" s="1"/>
  <c r="E352" i="1" a="1"/>
  <c r="E352" i="1" s="1"/>
  <c r="E1123" i="1" a="1"/>
  <c r="E1123" i="1" s="1"/>
  <c r="E1022" i="1" a="1"/>
  <c r="E1022" i="1" s="1"/>
  <c r="E747" i="1" a="1"/>
  <c r="E747" i="1" s="1"/>
  <c r="E1326" i="1" a="1"/>
  <c r="E1326" i="1" s="1"/>
  <c r="E462" i="1" a="1"/>
  <c r="E462" i="1" s="1"/>
  <c r="E583" i="1" a="1"/>
  <c r="E583" i="1" s="1"/>
  <c r="E600" i="1" a="1"/>
  <c r="E600" i="1" s="1"/>
  <c r="E746" i="1" a="1"/>
  <c r="E746" i="1" s="1"/>
  <c r="E13" i="1" a="1"/>
  <c r="E13" i="1" s="1"/>
  <c r="E1181" i="1" a="1"/>
  <c r="E1181" i="1" s="1"/>
  <c r="E1236" i="1" a="1"/>
  <c r="E1236" i="1" s="1"/>
  <c r="E495" i="1" a="1"/>
  <c r="E495" i="1" s="1"/>
  <c r="E1355" i="1" a="1"/>
  <c r="E1355" i="1" s="1"/>
  <c r="E791" i="1" a="1"/>
  <c r="E791" i="1" s="1"/>
  <c r="E1028" i="1" a="1"/>
  <c r="E1028" i="1" s="1"/>
  <c r="E388" i="1" a="1"/>
  <c r="E388" i="1" s="1"/>
  <c r="E469" i="1" a="1"/>
  <c r="E469" i="1" s="1"/>
  <c r="E1094" i="1" a="1"/>
  <c r="E1094" i="1" s="1"/>
  <c r="E1149" i="1" a="1"/>
  <c r="E1149" i="1" s="1"/>
  <c r="E1033" i="1" a="1"/>
  <c r="E1033" i="1" s="1"/>
  <c r="E1108" i="1" a="1"/>
  <c r="E1108" i="1" s="1"/>
  <c r="E1298" i="1" a="1"/>
  <c r="E1298" i="1" s="1"/>
  <c r="E597" i="1" a="1"/>
  <c r="E597" i="1" s="1"/>
  <c r="E860" i="1" a="1"/>
  <c r="E860" i="1" s="1"/>
  <c r="E1046" i="1" a="1"/>
  <c r="E1046" i="1" s="1"/>
  <c r="E934" i="1" a="1"/>
  <c r="E934" i="1" s="1"/>
  <c r="E690" i="1" a="1"/>
  <c r="E690" i="1" s="1"/>
  <c r="E1020" i="1" a="1"/>
  <c r="E1020" i="1" s="1"/>
  <c r="E62" i="1" a="1"/>
  <c r="E62" i="1" s="1"/>
  <c r="E1083" i="1" a="1"/>
  <c r="E1083" i="1" s="1"/>
  <c r="E943" i="1" a="1"/>
  <c r="E943" i="1" s="1"/>
  <c r="E79" i="1" a="1"/>
  <c r="E79" i="1" s="1"/>
  <c r="E711" i="1" a="1"/>
  <c r="E711" i="1" s="1"/>
  <c r="E459" i="1" a="1"/>
  <c r="E459" i="1" s="1"/>
  <c r="E101" i="1" a="1"/>
  <c r="E101" i="1" s="1"/>
  <c r="E863" i="1" a="1"/>
  <c r="E863" i="1" s="1"/>
  <c r="E1073" i="1" a="1"/>
  <c r="E1073" i="1" s="1"/>
  <c r="E1007" i="1" a="1"/>
  <c r="E1007" i="1" s="1"/>
  <c r="E533" i="1" a="1"/>
  <c r="E533" i="1" s="1"/>
  <c r="E138" i="1" a="1"/>
  <c r="E138" i="1" s="1"/>
  <c r="E398" i="1" a="1"/>
  <c r="E398" i="1" s="1"/>
  <c r="E400" i="1" a="1"/>
  <c r="E400" i="1" s="1"/>
  <c r="E857" i="1" a="1"/>
  <c r="E857" i="1" s="1"/>
  <c r="E955" i="1" a="1"/>
  <c r="E955" i="1" s="1"/>
  <c r="E498" i="1" a="1"/>
  <c r="E498" i="1" s="1"/>
  <c r="E1371" i="1" a="1"/>
  <c r="E1371" i="1" s="1"/>
  <c r="E615" i="1" a="1"/>
  <c r="E615" i="1" s="1"/>
  <c r="E693" i="1" a="1"/>
  <c r="E693" i="1" s="1"/>
  <c r="E1172" i="1" a="1"/>
  <c r="E1172" i="1" s="1"/>
  <c r="E1018" i="1" a="1"/>
  <c r="E1018" i="1" s="1"/>
  <c r="E157" i="1" a="1"/>
  <c r="E157" i="1" s="1"/>
  <c r="E229" i="1" a="1"/>
  <c r="E229" i="1" s="1"/>
  <c r="E220" i="1" a="1"/>
  <c r="E220" i="1" s="1"/>
  <c r="E847" i="1" a="1"/>
  <c r="E847" i="1" s="1"/>
  <c r="E656" i="1" a="1"/>
  <c r="E656" i="1" s="1"/>
  <c r="E910" i="1" a="1"/>
  <c r="E910" i="1" s="1"/>
  <c r="E1343" i="1" a="1"/>
  <c r="E1343" i="1" s="1"/>
  <c r="E58" i="1" a="1"/>
  <c r="E58" i="1" s="1"/>
  <c r="E100" i="1" a="1"/>
  <c r="E100" i="1" s="1"/>
  <c r="E1184" i="1" a="1"/>
  <c r="E1184" i="1" s="1"/>
  <c r="E642" i="1" a="1"/>
  <c r="E642" i="1" s="1"/>
  <c r="E1175" i="1" a="1"/>
  <c r="E1175" i="1" s="1"/>
  <c r="E1147" i="1" a="1"/>
  <c r="E1147" i="1" s="1"/>
  <c r="E793" i="1" a="1"/>
  <c r="E793" i="1" s="1"/>
  <c r="E390" i="1" a="1"/>
  <c r="E390" i="1" s="1"/>
  <c r="E720" i="1" a="1"/>
  <c r="E720" i="1" s="1"/>
  <c r="E446" i="1" a="1"/>
  <c r="E446" i="1" s="1"/>
  <c r="E1194" i="1" a="1"/>
  <c r="E1194" i="1" s="1"/>
  <c r="E175" i="1" a="1"/>
  <c r="E175" i="1" s="1"/>
  <c r="E1233" i="1" a="1"/>
  <c r="E1233" i="1" s="1"/>
  <c r="E1041" i="1" a="1"/>
  <c r="E1041" i="1" s="1"/>
  <c r="E718" i="1" a="1"/>
  <c r="E718" i="1" s="1"/>
  <c r="E307" i="1" a="1"/>
  <c r="E307" i="1" s="1"/>
  <c r="E769" i="1" a="1"/>
  <c r="E769" i="1" s="1"/>
  <c r="E111" i="1" a="1"/>
  <c r="E111" i="1" s="1"/>
  <c r="E393" i="1" a="1"/>
  <c r="E393" i="1" s="1"/>
  <c r="E147" i="1" a="1"/>
  <c r="E147" i="1" s="1"/>
  <c r="E1370" i="1" a="1"/>
  <c r="E1370" i="1" s="1"/>
  <c r="E314" i="1" a="1"/>
  <c r="E314" i="1" s="1"/>
  <c r="E1294" i="1" a="1"/>
  <c r="E1294" i="1" s="1"/>
  <c r="E754" i="1" a="1"/>
  <c r="E754" i="1" s="1"/>
  <c r="E525" i="1" a="1"/>
  <c r="E525" i="1" s="1"/>
  <c r="E545" i="1" a="1"/>
  <c r="E545" i="1" s="1"/>
  <c r="E1200" i="1" a="1"/>
  <c r="E1200" i="1" s="1"/>
  <c r="E428" i="1" a="1"/>
  <c r="E428" i="1" s="1"/>
  <c r="E785" i="1" a="1"/>
  <c r="E785" i="1" s="1"/>
  <c r="E1066" i="1" a="1"/>
  <c r="E1066" i="1" s="1"/>
  <c r="E894" i="1" a="1"/>
  <c r="E894" i="1" s="1"/>
  <c r="E736" i="1" a="1"/>
  <c r="E736" i="1" s="1"/>
  <c r="E540" i="1" a="1"/>
  <c r="E540" i="1" s="1"/>
  <c r="E318" i="1" a="1"/>
  <c r="E318" i="1" s="1"/>
  <c r="E1102" i="1" a="1"/>
  <c r="E1102" i="1" s="1"/>
  <c r="E702" i="1" a="1"/>
  <c r="E702" i="1" s="1"/>
  <c r="E1016" i="1" a="1"/>
  <c r="E1016" i="1" s="1"/>
  <c r="E842" i="1" a="1"/>
  <c r="E842" i="1" s="1"/>
  <c r="E783" i="1" a="1"/>
  <c r="E783" i="1" s="1"/>
  <c r="E274" i="1" a="1"/>
  <c r="E274" i="1" s="1"/>
  <c r="E166" i="1" a="1"/>
  <c r="E166" i="1" s="1"/>
  <c r="E906" i="1" a="1"/>
  <c r="E906" i="1" s="1"/>
  <c r="E210" i="1" a="1"/>
  <c r="E210" i="1" s="1"/>
  <c r="E866" i="1" a="1"/>
  <c r="E866" i="1" s="1"/>
  <c r="E1196" i="1" a="1"/>
  <c r="E1196" i="1" s="1"/>
  <c r="E1292" i="1" a="1"/>
  <c r="E1292" i="1" s="1"/>
  <c r="E281" i="1" a="1"/>
  <c r="E281" i="1" s="1"/>
  <c r="E1042" i="1" a="1"/>
  <c r="E1042" i="1" s="1"/>
  <c r="E849" i="1" a="1"/>
  <c r="E849" i="1" s="1"/>
  <c r="E713" i="1" a="1"/>
  <c r="E713" i="1" s="1"/>
  <c r="E895" i="1" a="1"/>
  <c r="E895" i="1" s="1"/>
  <c r="E580" i="1" a="1"/>
  <c r="E580" i="1" s="1"/>
  <c r="E544" i="1" a="1"/>
  <c r="E544" i="1" s="1"/>
  <c r="E977" i="1" a="1"/>
  <c r="E977" i="1" s="1"/>
  <c r="E1114" i="1" a="1"/>
  <c r="E1114" i="1" s="1"/>
  <c r="E447" i="1" a="1"/>
  <c r="E447" i="1" s="1"/>
  <c r="E474" i="1" a="1"/>
  <c r="E474" i="1" s="1"/>
  <c r="E63" i="1" a="1"/>
  <c r="E63" i="1" s="1"/>
  <c r="E52" i="1" a="1"/>
  <c r="E52" i="1" s="1"/>
  <c r="E681" i="1" a="1"/>
  <c r="E681" i="1" s="1"/>
  <c r="E415" i="1" a="1"/>
  <c r="E415" i="1" s="1"/>
  <c r="E472" i="1" a="1"/>
  <c r="E472" i="1" s="1"/>
  <c r="E87" i="1" a="1"/>
  <c r="E87" i="1" s="1"/>
  <c r="E1151" i="1" a="1"/>
  <c r="E1151" i="1" s="1"/>
  <c r="E950" i="1" a="1"/>
  <c r="E950" i="1" s="1"/>
  <c r="E909" i="1" a="1"/>
  <c r="E909" i="1" s="1"/>
  <c r="E113" i="1" a="1"/>
  <c r="E113" i="1" s="1"/>
  <c r="E280" i="1" a="1"/>
  <c r="E280" i="1" s="1"/>
  <c r="E88" i="1" a="1"/>
  <c r="E88" i="1" s="1"/>
  <c r="E442" i="1" a="1"/>
  <c r="E442" i="1" s="1"/>
  <c r="E1132" i="1" a="1"/>
  <c r="E1132" i="1" s="1"/>
  <c r="E412" i="1" a="1"/>
  <c r="E412" i="1" s="1"/>
  <c r="E135" i="1" a="1"/>
  <c r="E135" i="1" s="1"/>
  <c r="E768" i="1" a="1"/>
  <c r="E768" i="1" s="1"/>
  <c r="E646" i="1" a="1"/>
  <c r="E646" i="1" s="1"/>
  <c r="E237" i="1" a="1"/>
  <c r="E237" i="1" s="1"/>
  <c r="E945" i="1" a="1"/>
  <c r="E945" i="1" s="1"/>
  <c r="E150" i="1" a="1"/>
  <c r="E150" i="1" s="1"/>
  <c r="E403" i="1" a="1"/>
  <c r="E403" i="1" s="1"/>
  <c r="E529" i="1" a="1"/>
  <c r="E529" i="1" s="1"/>
  <c r="E678" i="1" a="1"/>
  <c r="E678" i="1" s="1"/>
  <c r="E146" i="1" a="1"/>
  <c r="E146" i="1" s="1"/>
  <c r="E841" i="1" a="1"/>
  <c r="E841" i="1" s="1"/>
  <c r="E796" i="1" a="1"/>
  <c r="E796" i="1" s="1"/>
  <c r="E1251" i="1" a="1"/>
  <c r="E1251" i="1" s="1"/>
  <c r="E120" i="1" a="1"/>
  <c r="E120" i="1" s="1"/>
  <c r="E967" i="1" a="1"/>
  <c r="E967" i="1" s="1"/>
  <c r="E72" i="1" a="1"/>
  <c r="E72" i="1" s="1"/>
  <c r="E124" i="1" a="1"/>
  <c r="E124" i="1" s="1"/>
  <c r="E1319" i="1" a="1"/>
  <c r="E1319" i="1" s="1"/>
  <c r="E354" i="1" a="1"/>
  <c r="E354" i="1" s="1"/>
  <c r="E240" i="1" a="1"/>
  <c r="E240" i="1" s="1"/>
  <c r="E1107" i="1" a="1"/>
  <c r="E1107" i="1" s="1"/>
  <c r="E416" i="1" a="1"/>
  <c r="E416" i="1" s="1"/>
  <c r="E1313" i="1" a="1"/>
  <c r="E1313" i="1" s="1"/>
  <c r="E502" i="1" a="1"/>
  <c r="E502" i="1" s="1"/>
  <c r="E497" i="1" a="1"/>
  <c r="E497" i="1" s="1"/>
  <c r="E376" i="1" a="1"/>
  <c r="E376" i="1" s="1"/>
  <c r="E809" i="1" a="1"/>
  <c r="E809" i="1" s="1"/>
  <c r="E468" i="1" a="1"/>
  <c r="E468" i="1" s="1"/>
  <c r="E321" i="1" a="1"/>
  <c r="E321" i="1" s="1"/>
  <c r="E226" i="1" a="1"/>
  <c r="E226" i="1" s="1"/>
  <c r="E19" i="1" a="1"/>
  <c r="E19" i="1" s="1"/>
  <c r="E330" i="1" a="1"/>
  <c r="E330" i="1" s="1"/>
  <c r="E478" i="1" a="1"/>
  <c r="E478" i="1" s="1"/>
  <c r="E209" i="1" a="1"/>
  <c r="E209" i="1" s="1"/>
  <c r="E1064" i="1" a="1"/>
  <c r="E1064" i="1" s="1"/>
  <c r="E1070" i="1" a="1"/>
  <c r="E1070" i="1" s="1"/>
  <c r="E369" i="1" a="1"/>
  <c r="E369" i="1" s="1"/>
  <c r="E41" i="1" a="1"/>
  <c r="E41" i="1" s="1"/>
  <c r="E270" i="1" a="1"/>
  <c r="E270" i="1" s="1"/>
  <c r="E204" i="1" a="1"/>
  <c r="E204" i="1" s="1"/>
  <c r="E303" i="1" a="1"/>
  <c r="E303" i="1" s="1"/>
  <c r="E1186" i="1" a="1"/>
  <c r="E1186" i="1" s="1"/>
  <c r="E115" i="1" a="1"/>
  <c r="E115" i="1" s="1"/>
  <c r="E887" i="1" a="1"/>
  <c r="E887" i="1" s="1"/>
  <c r="E341" i="1" a="1"/>
  <c r="E341" i="1" s="1"/>
  <c r="E510" i="1" a="1"/>
  <c r="E510" i="1" s="1"/>
  <c r="E983" i="1" a="1"/>
  <c r="E983" i="1" s="1"/>
  <c r="E448" i="1" a="1"/>
  <c r="E448" i="1" s="1"/>
  <c r="E154" i="1" a="1"/>
  <c r="E154" i="1" s="1"/>
  <c r="E134" i="1" a="1"/>
  <c r="E134" i="1" s="1"/>
  <c r="E1118" i="1" a="1"/>
  <c r="E1118" i="1" s="1"/>
  <c r="E1158" i="1" a="1"/>
  <c r="E1158" i="1" s="1"/>
  <c r="E1254" i="1" a="1"/>
  <c r="E1254" i="1" s="1"/>
  <c r="E392" i="1" a="1"/>
  <c r="E392" i="1" s="1"/>
  <c r="E1178" i="1" a="1"/>
  <c r="E1178" i="1" s="1"/>
  <c r="E725" i="1" a="1"/>
  <c r="E725" i="1" s="1"/>
  <c r="E191" i="1" a="1"/>
  <c r="E191" i="1" s="1"/>
  <c r="E514" i="1" a="1"/>
  <c r="E514" i="1" s="1"/>
  <c r="E1122" i="1" a="1"/>
  <c r="E1122" i="1" s="1"/>
  <c r="E306" i="1" a="1"/>
  <c r="E306" i="1" s="1"/>
  <c r="E1111" i="1" a="1"/>
  <c r="E1111" i="1" s="1"/>
  <c r="E947" i="1" a="1"/>
  <c r="E947" i="1" s="1"/>
  <c r="E868" i="1" a="1"/>
  <c r="E868" i="1" s="1"/>
  <c r="E963" i="1" a="1"/>
  <c r="E963" i="1" s="1"/>
  <c r="E141" i="1" a="1"/>
  <c r="E141" i="1" s="1"/>
  <c r="E1248" i="1" a="1"/>
  <c r="E1248" i="1" s="1"/>
  <c r="E349" i="1" a="1"/>
  <c r="E349" i="1" s="1"/>
  <c r="E874" i="1" a="1"/>
  <c r="E874" i="1" s="1"/>
  <c r="E381" i="1" a="1"/>
  <c r="E381" i="1" s="1"/>
  <c r="E128" i="1" a="1"/>
  <c r="E128" i="1" s="1"/>
  <c r="E787" i="1" a="1"/>
  <c r="E787" i="1" s="1"/>
  <c r="E142" i="1" a="1"/>
  <c r="E142" i="1" s="1"/>
  <c r="E411" i="1" a="1"/>
  <c r="E411" i="1" s="1"/>
  <c r="E372" i="1" a="1"/>
  <c r="E372" i="1" s="1"/>
  <c r="E1034" i="1" a="1"/>
  <c r="E1034" i="1" s="1"/>
  <c r="E1230" i="1" a="1"/>
  <c r="E1230" i="1" s="1"/>
  <c r="E819" i="1" a="1"/>
  <c r="E819" i="1" s="1"/>
  <c r="E452" i="1" a="1"/>
  <c r="E452" i="1" s="1"/>
  <c r="E1048" i="1" a="1"/>
  <c r="E1048" i="1" s="1"/>
  <c r="E891" i="1" a="1"/>
  <c r="E891" i="1" s="1"/>
  <c r="E107" i="1" a="1"/>
  <c r="E107" i="1" s="1"/>
  <c r="E833" i="1" a="1"/>
  <c r="E833" i="1" s="1"/>
  <c r="E764" i="1" a="1"/>
  <c r="E764" i="1" s="1"/>
  <c r="E654" i="1" a="1"/>
  <c r="E654" i="1" s="1"/>
  <c r="E673" i="1" a="1"/>
  <c r="E673" i="1" s="1"/>
  <c r="E283" i="1" a="1"/>
  <c r="E283" i="1" s="1"/>
  <c r="E922" i="1" a="1"/>
  <c r="E922" i="1" s="1"/>
  <c r="E480" i="1" a="1"/>
  <c r="E480" i="1" s="1"/>
  <c r="E807" i="1" a="1"/>
  <c r="E807" i="1" s="1"/>
  <c r="E90" i="1" a="1"/>
  <c r="E90" i="1" s="1"/>
  <c r="E455" i="1" a="1"/>
  <c r="E455" i="1" s="1"/>
  <c r="E701" i="1" a="1"/>
  <c r="E701" i="1" s="1"/>
  <c r="E298" i="1" a="1"/>
  <c r="E298" i="1" s="1"/>
  <c r="E465" i="1" a="1"/>
  <c r="E465" i="1" s="1"/>
  <c r="E186" i="1" a="1"/>
  <c r="E186" i="1" s="1"/>
  <c r="E380" i="1" a="1"/>
  <c r="E380" i="1" s="1"/>
  <c r="E508" i="1" a="1"/>
  <c r="E508" i="1" s="1"/>
  <c r="E563" i="1" a="1"/>
  <c r="E563" i="1" s="1"/>
  <c r="E136" i="1" a="1"/>
  <c r="E136" i="1" s="1"/>
  <c r="E815" i="1" a="1"/>
  <c r="E815" i="1" s="1"/>
  <c r="E315" i="1" a="1"/>
  <c r="E315" i="1" s="1"/>
  <c r="E1110" i="1" a="1"/>
  <c r="E1110" i="1" s="1"/>
  <c r="E1160" i="1" a="1"/>
  <c r="E1160" i="1" s="1"/>
  <c r="E1008" i="1" a="1"/>
  <c r="E1008" i="1" s="1"/>
  <c r="E907" i="1" a="1"/>
  <c r="E907" i="1" s="1"/>
  <c r="E1238" i="1" a="1"/>
  <c r="E1238" i="1" s="1"/>
  <c r="E518" i="1" a="1"/>
  <c r="E518" i="1" s="1"/>
  <c r="E996" i="1" a="1"/>
  <c r="E996" i="1" s="1"/>
  <c r="E592" i="1" a="1"/>
  <c r="E592" i="1" s="1"/>
  <c r="E1060" i="1" a="1"/>
  <c r="E1060" i="1" s="1"/>
  <c r="E893" i="1" a="1"/>
  <c r="E893" i="1" s="1"/>
  <c r="E1040" i="1" a="1"/>
  <c r="E1040" i="1" s="1"/>
  <c r="E549" i="1" a="1"/>
  <c r="E549" i="1" s="1"/>
  <c r="E1121" i="1" a="1"/>
  <c r="E1121" i="1" s="1"/>
  <c r="E305" i="1" a="1"/>
  <c r="E305" i="1" s="1"/>
  <c r="E1287" i="1" a="1"/>
  <c r="E1287" i="1" s="1"/>
  <c r="E749" i="1" a="1"/>
  <c r="E749" i="1" s="1"/>
  <c r="E1124" i="1" a="1"/>
  <c r="E1124" i="1" s="1"/>
  <c r="E494" i="1" a="1"/>
  <c r="E494" i="1" s="1"/>
  <c r="E1327" i="1" a="1"/>
  <c r="E1327" i="1" s="1"/>
  <c r="E611" i="1" a="1"/>
  <c r="E611" i="1" s="1"/>
  <c r="E536" i="1" a="1"/>
  <c r="E536" i="1" s="1"/>
  <c r="E902" i="1" a="1"/>
  <c r="E902" i="1" s="1"/>
  <c r="E599" i="1" a="1"/>
  <c r="E599" i="1" s="1"/>
  <c r="E485" i="1" a="1"/>
  <c r="E485" i="1" s="1"/>
  <c r="E49" i="1" a="1"/>
  <c r="E49" i="1" s="1"/>
  <c r="E804" i="1" a="1"/>
  <c r="E804" i="1" s="1"/>
  <c r="E1265" i="1" a="1"/>
  <c r="E1265" i="1" s="1"/>
  <c r="E207" i="1" a="1"/>
  <c r="E207" i="1" s="1"/>
  <c r="E32" i="1" a="1"/>
  <c r="E32" i="1" s="1"/>
  <c r="E409" i="1" a="1"/>
  <c r="E409" i="1" s="1"/>
  <c r="E1013" i="1" a="1"/>
  <c r="E1013" i="1" s="1"/>
  <c r="E1056" i="1" a="1"/>
  <c r="E1056" i="1" s="1"/>
  <c r="E333" i="1" a="1"/>
  <c r="E333" i="1" s="1"/>
  <c r="E573" i="1" a="1"/>
  <c r="E573" i="1" s="1"/>
  <c r="E152" i="1" a="1"/>
  <c r="E152" i="1" s="1"/>
  <c r="E958" i="1" a="1"/>
  <c r="E958" i="1" s="1"/>
  <c r="E1263" i="1" a="1"/>
  <c r="E1263" i="1" s="1"/>
  <c r="E414" i="1" a="1"/>
  <c r="E414" i="1" s="1"/>
  <c r="E92" i="1" a="1"/>
  <c r="E92" i="1" s="1"/>
  <c r="E997" i="1" a="1"/>
  <c r="E997" i="1" s="1"/>
  <c r="E338" i="1" a="1"/>
  <c r="E338" i="1" s="1"/>
  <c r="E551" i="1" a="1"/>
  <c r="E551" i="1" s="1"/>
  <c r="E567" i="1" a="1"/>
  <c r="E567" i="1" s="1"/>
  <c r="E248" i="1" a="1"/>
  <c r="E248" i="1" s="1"/>
  <c r="E1062" i="1" a="1"/>
  <c r="E1062" i="1" s="1"/>
  <c r="E491" i="1" a="1"/>
  <c r="E491" i="1" s="1"/>
  <c r="E247" i="1" a="1"/>
  <c r="E247" i="1" s="1"/>
  <c r="E1335" i="1" a="1"/>
  <c r="E1335" i="1" s="1"/>
  <c r="E937" i="1" a="1"/>
  <c r="E937" i="1" s="1"/>
  <c r="E1072" i="1" a="1"/>
  <c r="E1072" i="1" s="1"/>
  <c r="E47" i="1" a="1"/>
  <c r="E47" i="1" s="1"/>
  <c r="E1300" i="1" a="1"/>
  <c r="E1300" i="1" s="1"/>
  <c r="E1093" i="1" a="1"/>
  <c r="E1093" i="1" s="1"/>
  <c r="E774" i="1" a="1"/>
  <c r="E774" i="1" s="1"/>
  <c r="E1025" i="1" a="1"/>
  <c r="E1025" i="1" s="1"/>
  <c r="E1331" i="1" a="1"/>
  <c r="E1331" i="1" s="1"/>
  <c r="E74" i="1" a="1"/>
  <c r="E74" i="1" s="1"/>
  <c r="E15" i="1" a="1"/>
  <c r="E15" i="1" s="1"/>
  <c r="E275" i="1" a="1"/>
  <c r="E275" i="1" s="1"/>
  <c r="E1250" i="1" a="1"/>
  <c r="E1250" i="1" s="1"/>
  <c r="E379" i="1" a="1"/>
  <c r="E379" i="1" s="1"/>
  <c r="E1137" i="1" a="1"/>
  <c r="E1137" i="1" s="1"/>
  <c r="E598" i="1" a="1"/>
  <c r="E598" i="1" s="1"/>
  <c r="E858" i="1" a="1"/>
  <c r="E858" i="1" s="1"/>
  <c r="E291" i="1" a="1"/>
  <c r="E291" i="1" s="1"/>
  <c r="E325" i="1" a="1"/>
  <c r="E325" i="1" s="1"/>
  <c r="E1190" i="1" a="1"/>
  <c r="E1190" i="1" s="1"/>
  <c r="E546" i="1" a="1"/>
  <c r="E546" i="1" s="1"/>
  <c r="E40" i="1" a="1"/>
  <c r="E40" i="1" s="1"/>
  <c r="E802" i="1" a="1"/>
  <c r="E802" i="1" s="1"/>
  <c r="E984" i="1" a="1"/>
  <c r="E984" i="1" s="1"/>
  <c r="E1112" i="1" a="1"/>
  <c r="E1112" i="1" s="1"/>
  <c r="E1272" i="1" a="1"/>
  <c r="E1272" i="1" s="1"/>
  <c r="E1228" i="1" a="1"/>
  <c r="E1228" i="1" s="1"/>
  <c r="E948" i="1" a="1"/>
  <c r="E948" i="1" s="1"/>
  <c r="E35" i="1" a="1"/>
  <c r="E35" i="1" s="1"/>
  <c r="E374" i="1" a="1"/>
  <c r="E374" i="1" s="1"/>
  <c r="E831" i="1" a="1"/>
  <c r="E831" i="1" s="1"/>
  <c r="E1197" i="1" a="1"/>
  <c r="E1197" i="1" s="1"/>
  <c r="E1057" i="1" a="1"/>
  <c r="E1057" i="1" s="1"/>
  <c r="E8" i="1" a="1"/>
  <c r="E8" i="1" s="1"/>
  <c r="E467" i="1" a="1"/>
  <c r="E467" i="1" s="1"/>
  <c r="E743" i="1" a="1"/>
  <c r="E743" i="1" s="1"/>
  <c r="E1032" i="1" a="1"/>
  <c r="E1032" i="1" s="1"/>
  <c r="E375" i="1" a="1"/>
  <c r="E375" i="1" s="1"/>
  <c r="E724" i="1" a="1"/>
  <c r="E724" i="1" s="1"/>
  <c r="E418" i="1" a="1"/>
  <c r="E418" i="1" s="1"/>
  <c r="E368" i="1" a="1"/>
  <c r="E368" i="1" s="1"/>
  <c r="E780" i="1" a="1"/>
  <c r="E780" i="1" s="1"/>
  <c r="E584" i="1" a="1"/>
  <c r="E584" i="1" s="1"/>
  <c r="E820" i="1" a="1"/>
  <c r="E820" i="1" s="1"/>
  <c r="E1144" i="1" a="1"/>
  <c r="E1144" i="1" s="1"/>
  <c r="E814" i="1" a="1"/>
  <c r="E814" i="1" s="1"/>
  <c r="E263" i="1" a="1"/>
  <c r="E263" i="1" s="1"/>
  <c r="E159" i="1" a="1"/>
  <c r="E159" i="1" s="1"/>
  <c r="E591" i="1" a="1"/>
  <c r="E591" i="1" s="1"/>
  <c r="E1078" i="1" a="1"/>
  <c r="E1078" i="1" s="1"/>
  <c r="E235" i="1" a="1"/>
  <c r="E235" i="1" s="1"/>
  <c r="E980" i="1" a="1"/>
  <c r="E980" i="1" s="1"/>
  <c r="E1359" i="1" a="1"/>
  <c r="E1359" i="1" s="1"/>
  <c r="E1120" i="1" a="1"/>
  <c r="E1120" i="1" s="1"/>
  <c r="E406" i="1" a="1"/>
  <c r="E406" i="1" s="1"/>
  <c r="E308" i="1" a="1"/>
  <c r="E308" i="1" s="1"/>
  <c r="E1067" i="1" a="1"/>
  <c r="E1067" i="1" s="1"/>
  <c r="E721" i="1" a="1"/>
  <c r="E721" i="1" s="1"/>
  <c r="E816" i="1" a="1"/>
  <c r="E816" i="1" s="1"/>
  <c r="E924" i="1" a="1"/>
  <c r="E924" i="1" s="1"/>
  <c r="E370" i="1" a="1"/>
  <c r="E370" i="1" s="1"/>
  <c r="E543" i="1" a="1"/>
  <c r="E543" i="1" s="1"/>
  <c r="E243" i="1" a="1"/>
  <c r="E243" i="1" s="1"/>
  <c r="E404" i="1" a="1"/>
  <c r="E404" i="1" s="1"/>
  <c r="E873" i="1" a="1"/>
  <c r="E873" i="1" s="1"/>
  <c r="E1285" i="1" a="1"/>
  <c r="E1285" i="1" s="1"/>
  <c r="E577" i="1" a="1"/>
  <c r="E577" i="1" s="1"/>
  <c r="E1153" i="1" a="1"/>
  <c r="E1153" i="1" s="1"/>
  <c r="E1029" i="1" a="1"/>
  <c r="E1029" i="1" s="1"/>
  <c r="E942" i="1" a="1"/>
  <c r="E942" i="1" s="1"/>
  <c r="E286" i="1" a="1"/>
  <c r="E286" i="1" s="1"/>
  <c r="E756" i="1" a="1"/>
  <c r="E756" i="1" s="1"/>
  <c r="E1247" i="1" a="1"/>
  <c r="E1247" i="1" s="1"/>
  <c r="E493" i="1" a="1"/>
  <c r="E493" i="1" s="1"/>
  <c r="E1227" i="1" a="1"/>
  <c r="E1227" i="1" s="1"/>
  <c r="E1352" i="1" a="1"/>
  <c r="E1352" i="1" s="1"/>
  <c r="E242" i="1" a="1"/>
  <c r="E242" i="1" s="1"/>
  <c r="E1315" i="1" a="1"/>
  <c r="E1315" i="1" s="1"/>
  <c r="E230" i="1" a="1"/>
  <c r="E230" i="1" s="1"/>
  <c r="E1244" i="1" a="1"/>
  <c r="E1244" i="1" s="1"/>
  <c r="E667" i="1" a="1"/>
  <c r="E667" i="1" s="1"/>
  <c r="E116" i="1" a="1"/>
  <c r="E116" i="1" s="1"/>
  <c r="E782" i="1" a="1"/>
  <c r="E782" i="1" s="1"/>
  <c r="E66" i="1" a="1"/>
  <c r="E66" i="1" s="1"/>
  <c r="E805" i="1" a="1"/>
  <c r="E805" i="1" s="1"/>
  <c r="E692" i="1" a="1"/>
  <c r="E692" i="1" s="1"/>
  <c r="E430" i="1" a="1"/>
  <c r="E430" i="1" s="1"/>
  <c r="E1346" i="1" a="1"/>
  <c r="E1346" i="1" s="1"/>
  <c r="E941" i="1" a="1"/>
  <c r="E941" i="1" s="1"/>
  <c r="E982" i="1" a="1"/>
  <c r="E982" i="1" s="1"/>
  <c r="E377" i="1" a="1"/>
  <c r="E377" i="1" s="1"/>
  <c r="E1156" i="1" a="1"/>
  <c r="E1156" i="1" s="1"/>
  <c r="E1207" i="1" a="1"/>
  <c r="E1207" i="1" s="1"/>
  <c r="E727" i="1" a="1"/>
  <c r="E727" i="1" s="1"/>
  <c r="E504" i="1" a="1"/>
  <c r="E504" i="1" s="1"/>
  <c r="E994" i="1" a="1"/>
  <c r="E994" i="1" s="1"/>
  <c r="E471" i="1" a="1"/>
  <c r="E471" i="1" s="1"/>
  <c r="E112" i="1" a="1"/>
  <c r="E112" i="1" s="1"/>
  <c r="E278" i="1" a="1"/>
  <c r="E278" i="1" s="1"/>
  <c r="E106" i="1" a="1"/>
  <c r="E106" i="1" s="1"/>
  <c r="E1148" i="1" a="1"/>
  <c r="E1148" i="1" s="1"/>
  <c r="E865" i="1" a="1"/>
  <c r="E865" i="1" s="1"/>
  <c r="E294" i="1" a="1"/>
  <c r="E294" i="1" s="1"/>
  <c r="E1061" i="1" a="1"/>
  <c r="E1061" i="1" s="1"/>
  <c r="E221" i="1" a="1"/>
  <c r="E221" i="1" s="1"/>
  <c r="E870" i="1" a="1"/>
  <c r="E870" i="1" s="1"/>
  <c r="E697" i="1" a="1"/>
  <c r="E697" i="1" s="1"/>
  <c r="E792" i="1" a="1"/>
  <c r="E792" i="1" s="1"/>
  <c r="E322" i="1" a="1"/>
  <c r="E322" i="1" s="1"/>
  <c r="E1171" i="1" a="1"/>
  <c r="E1171" i="1" s="1"/>
  <c r="E1242" i="1" a="1"/>
  <c r="E1242" i="1" s="1"/>
  <c r="E1320" i="1" a="1"/>
  <c r="E1320" i="1" s="1"/>
  <c r="E511" i="1" a="1"/>
  <c r="E511" i="1" s="1"/>
  <c r="E436" i="1" a="1"/>
  <c r="E436" i="1" s="1"/>
  <c r="E1277" i="1" a="1"/>
  <c r="E1277" i="1" s="1"/>
  <c r="E1306" i="1" a="1"/>
  <c r="E1306" i="1" s="1"/>
  <c r="E1185" i="1" a="1"/>
  <c r="E1185" i="1" s="1"/>
  <c r="E45" i="1" a="1"/>
  <c r="E45" i="1" s="1"/>
  <c r="E1201" i="1" a="1"/>
  <c r="E1201" i="1" s="1"/>
  <c r="E617" i="1" a="1"/>
  <c r="E617" i="1" s="1"/>
  <c r="E1203" i="1" a="1"/>
  <c r="E1203" i="1" s="1"/>
  <c r="E482" i="1" a="1"/>
  <c r="E482" i="1" s="1"/>
  <c r="E17" i="1" a="1"/>
  <c r="E17" i="1" s="1"/>
  <c r="E336" i="1" a="1"/>
  <c r="E336" i="1" s="1"/>
  <c r="E205" i="1" a="1"/>
  <c r="E205" i="1" s="1"/>
  <c r="E54" i="1" a="1"/>
  <c r="E54" i="1" s="1"/>
  <c r="E1328" i="1" a="1"/>
  <c r="E1328" i="1" s="1"/>
  <c r="E1316" i="1" a="1"/>
  <c r="E1316" i="1" s="1"/>
  <c r="E659" i="1" a="1"/>
  <c r="E659" i="1" s="1"/>
  <c r="E946" i="1" a="1"/>
  <c r="E946" i="1" s="1"/>
  <c r="E530" i="1" a="1"/>
  <c r="E530" i="1" s="1"/>
  <c r="E779" i="1" a="1"/>
  <c r="E779" i="1" s="1"/>
  <c r="E1068" i="1" a="1"/>
  <c r="E1068" i="1" s="1"/>
  <c r="E43" i="1" a="1"/>
  <c r="E43" i="1" s="1"/>
  <c r="E722" i="1" a="1"/>
  <c r="E722" i="1" s="1"/>
  <c r="E800" i="1" a="1"/>
  <c r="E800" i="1" s="1"/>
  <c r="E1154" i="1" a="1"/>
  <c r="E1154" i="1" s="1"/>
  <c r="E648" i="1" a="1"/>
  <c r="E648" i="1" s="1"/>
  <c r="E1360" i="1" a="1"/>
  <c r="E1360" i="1" s="1"/>
  <c r="E682" i="1" a="1"/>
  <c r="E682" i="1" s="1"/>
  <c r="E1351" i="1" a="1"/>
  <c r="E1351" i="1" s="1"/>
  <c r="E698" i="1" a="1"/>
  <c r="E698" i="1" s="1"/>
  <c r="E279" i="1" a="1"/>
  <c r="E279" i="1" s="1"/>
  <c r="E355" i="1" a="1"/>
  <c r="E355" i="1" s="1"/>
  <c r="E512" i="1" a="1"/>
  <c r="E512" i="1" s="1"/>
  <c r="E619" i="1" a="1"/>
  <c r="E619" i="1" s="1"/>
  <c r="E284" i="1" a="1"/>
  <c r="E284" i="1" s="1"/>
  <c r="E933" i="1" a="1"/>
  <c r="E933" i="1" s="1"/>
  <c r="E1225" i="1" a="1"/>
  <c r="E1225" i="1" s="1"/>
  <c r="E1126" i="1" a="1"/>
  <c r="E1126" i="1" s="1"/>
  <c r="E1223" i="1" a="1"/>
  <c r="E1223" i="1" s="1"/>
  <c r="E84" i="1" a="1"/>
  <c r="E84" i="1" s="1"/>
  <c r="E528" i="1" a="1"/>
  <c r="E528" i="1" s="1"/>
  <c r="E422" i="1" a="1"/>
  <c r="E422" i="1" s="1"/>
  <c r="E18" i="1" a="1"/>
  <c r="E18" i="1" s="1"/>
  <c r="E383" i="1" a="1"/>
  <c r="E383" i="1" s="1"/>
  <c r="E829" i="1" a="1"/>
  <c r="E829" i="1" s="1"/>
  <c r="E566" i="1" a="1"/>
  <c r="E566" i="1" s="1"/>
  <c r="E117" i="1" a="1"/>
  <c r="E117" i="1" s="1"/>
  <c r="E273" i="1" a="1"/>
  <c r="E273" i="1" s="1"/>
  <c r="E50" i="1" a="1"/>
  <c r="E50" i="1" s="1"/>
  <c r="E424" i="1" a="1"/>
  <c r="E424" i="1" s="1"/>
  <c r="E99" i="1" a="1"/>
  <c r="E99" i="1" s="1"/>
  <c r="E965" i="1" a="1"/>
  <c r="E965" i="1" s="1"/>
  <c r="E843" i="1" a="1"/>
  <c r="E843" i="1" s="1"/>
  <c r="E668" i="1" a="1"/>
  <c r="E668" i="1" s="1"/>
  <c r="E699" i="1" a="1"/>
  <c r="E699" i="1" s="1"/>
  <c r="E1349" i="1" a="1"/>
  <c r="E1349" i="1" s="1"/>
  <c r="E1274" i="1" a="1"/>
  <c r="E1274" i="1" s="1"/>
  <c r="E737" i="1" a="1"/>
  <c r="E737" i="1" s="1"/>
  <c r="E938" i="1" a="1"/>
  <c r="E938" i="1" s="1"/>
  <c r="E1372" i="1" a="1"/>
  <c r="E1372" i="1" s="1"/>
  <c r="E1208" i="1" a="1"/>
  <c r="E1208" i="1" s="1"/>
  <c r="E710" i="1" a="1"/>
  <c r="E710" i="1" s="1"/>
  <c r="E797" i="1" a="1"/>
  <c r="E797" i="1" s="1"/>
  <c r="E954" i="1" a="1"/>
  <c r="E954" i="1" s="1"/>
  <c r="E38" i="1" a="1"/>
  <c r="E38" i="1" s="1"/>
  <c r="E16" i="1" a="1"/>
  <c r="E16" i="1" s="1"/>
  <c r="E505" i="1" a="1"/>
  <c r="E505" i="1" s="1"/>
  <c r="E1264" i="1" a="1"/>
  <c r="E1264" i="1" s="1"/>
  <c r="E329" i="1" a="1"/>
  <c r="E329" i="1" s="1"/>
  <c r="E206" i="1" a="1"/>
  <c r="E206" i="1" s="1"/>
  <c r="E1317" i="1" a="1"/>
  <c r="E1317" i="1" s="1"/>
  <c r="E199" i="1" a="1"/>
  <c r="E199" i="1" s="1"/>
  <c r="E568" i="1" a="1"/>
  <c r="E568" i="1" s="1"/>
  <c r="E77" i="1" a="1"/>
  <c r="E77" i="1" s="1"/>
  <c r="E346" i="1" a="1"/>
  <c r="E346" i="1" s="1"/>
  <c r="E1119" i="1" a="1"/>
  <c r="E1119" i="1" s="1"/>
  <c r="E1103" i="1" a="1"/>
  <c r="E1103" i="1" s="1"/>
  <c r="E541" i="1" a="1"/>
  <c r="E541" i="1" s="1"/>
  <c r="E80" i="1" a="1"/>
  <c r="E80" i="1" s="1"/>
  <c r="E1084" i="1" a="1"/>
  <c r="E1084" i="1" s="1"/>
  <c r="E394" i="1" a="1"/>
  <c r="E394" i="1" s="1"/>
  <c r="E770" i="1" a="1"/>
  <c r="E770" i="1" s="1"/>
  <c r="E825" i="1" a="1"/>
  <c r="E825" i="1" s="1"/>
  <c r="E70" i="1" a="1"/>
  <c r="E70" i="1" s="1"/>
  <c r="E869" i="1" a="1"/>
  <c r="E869" i="1" s="1"/>
  <c r="E385" i="1" a="1"/>
  <c r="E385" i="1" s="1"/>
  <c r="E1249" i="1" a="1"/>
  <c r="E1249" i="1" s="1"/>
  <c r="E14" i="1" a="1"/>
  <c r="E14" i="1" s="1"/>
  <c r="E299" i="1" a="1"/>
  <c r="E299" i="1" s="1"/>
  <c r="E1043" i="1" a="1"/>
  <c r="E1043" i="1" s="1"/>
  <c r="E187" i="1" a="1"/>
  <c r="E187" i="1" s="1"/>
  <c r="E1139" i="1" a="1"/>
  <c r="E1139" i="1" s="1"/>
  <c r="E190" i="1" a="1"/>
  <c r="E190" i="1" s="1"/>
  <c r="E522" i="1" a="1"/>
  <c r="E522" i="1" s="1"/>
  <c r="E269" i="1" a="1"/>
  <c r="E269" i="1" s="1"/>
  <c r="E1296" i="1" a="1"/>
  <c r="E1296" i="1" s="1"/>
  <c r="E109" i="1" a="1"/>
  <c r="E109" i="1" s="1"/>
  <c r="E661" i="1" a="1"/>
  <c r="E661" i="1" s="1"/>
  <c r="E663" i="1" a="1"/>
  <c r="E663" i="1" s="1"/>
  <c r="E839" i="1" a="1"/>
  <c r="E839" i="1" s="1"/>
  <c r="E1031" i="1" a="1"/>
  <c r="E1031" i="1" s="1"/>
  <c r="E1314" i="1" a="1"/>
  <c r="E1314" i="1" s="1"/>
  <c r="E707" i="1" a="1"/>
  <c r="E707" i="1" s="1"/>
  <c r="E714" i="1" a="1"/>
  <c r="E714" i="1" s="1"/>
  <c r="E956" i="1" a="1"/>
  <c r="E956" i="1" s="1"/>
  <c r="E1052" i="1" a="1"/>
  <c r="E1052" i="1" s="1"/>
  <c r="E1117" i="1" a="1"/>
  <c r="E1117" i="1" s="1"/>
  <c r="E1283" i="1" a="1"/>
  <c r="E1283" i="1" s="1"/>
  <c r="E1216" i="1" a="1"/>
  <c r="E1216" i="1" s="1"/>
  <c r="E1182" i="1" a="1"/>
  <c r="E1182" i="1" s="1"/>
  <c r="E402" i="1" a="1"/>
  <c r="E402" i="1" s="1"/>
  <c r="E1145" i="1" a="1"/>
  <c r="E1145" i="1" s="1"/>
  <c r="E272" i="1" a="1"/>
  <c r="E272" i="1" s="1"/>
  <c r="E410" i="1" a="1"/>
  <c r="E410" i="1" s="1"/>
  <c r="E632" i="1" a="1"/>
  <c r="E632" i="1" s="1"/>
  <c r="E1014" i="1" a="1"/>
  <c r="E1014" i="1" s="1"/>
  <c r="E358" i="1" a="1"/>
  <c r="E358" i="1" s="1"/>
  <c r="E289" i="1" a="1"/>
  <c r="E289" i="1" s="1"/>
  <c r="E241" i="1" a="1"/>
  <c r="E241" i="1" s="1"/>
  <c r="E1155" i="1" a="1"/>
  <c r="E1155" i="1" s="1"/>
  <c r="E1275" i="1" a="1"/>
  <c r="E1275" i="1" s="1"/>
  <c r="E634" i="1" a="1"/>
  <c r="E634" i="1" s="1"/>
  <c r="E517" i="1" a="1"/>
  <c r="E517" i="1" s="1"/>
  <c r="E57" i="1" a="1"/>
  <c r="E57" i="1" s="1"/>
  <c r="E180" i="1" a="1"/>
  <c r="E180" i="1" s="1"/>
  <c r="E292" i="1" a="1"/>
  <c r="E292" i="1" s="1"/>
  <c r="E641" i="1" a="1"/>
  <c r="E641" i="1" s="1"/>
  <c r="E1049" i="1" a="1"/>
  <c r="E1049" i="1" s="1"/>
  <c r="E33" i="1" a="1"/>
  <c r="E33" i="1" s="1"/>
  <c r="E233" i="1" a="1"/>
  <c r="E233" i="1" s="1"/>
  <c r="E859" i="1" a="1"/>
  <c r="E859" i="1" s="1"/>
  <c r="E1191" i="1" a="1"/>
  <c r="E1191" i="1" s="1"/>
  <c r="E479" i="1" a="1"/>
  <c r="E479" i="1" s="1"/>
  <c r="E309" i="1" a="1"/>
  <c r="E309" i="1" s="1"/>
  <c r="E125" i="1" a="1"/>
  <c r="E125" i="1" s="1"/>
  <c r="E439" i="1" a="1"/>
  <c r="E439" i="1" s="1"/>
  <c r="E848" i="1" a="1"/>
  <c r="E848" i="1" s="1"/>
  <c r="E1019" i="1" a="1"/>
  <c r="E1019" i="1" s="1"/>
  <c r="E979" i="1" a="1"/>
  <c r="E979" i="1" s="1"/>
  <c r="E222" i="1" a="1"/>
  <c r="E222" i="1" s="1"/>
  <c r="E162" i="1" a="1"/>
  <c r="E162" i="1" s="1"/>
  <c r="E208" i="1" a="1"/>
  <c r="E208" i="1" s="1"/>
  <c r="E326" i="1" a="1"/>
  <c r="E326" i="1" s="1"/>
  <c r="E1096" i="1" a="1"/>
  <c r="E1096" i="1" s="1"/>
  <c r="E212" i="1" a="1"/>
  <c r="E212" i="1" s="1"/>
  <c r="E930" i="1" a="1"/>
  <c r="E930" i="1" s="1"/>
  <c r="E334" i="1" a="1"/>
  <c r="E334" i="1" s="1"/>
  <c r="E1226" i="1" a="1"/>
  <c r="E1226" i="1" s="1"/>
  <c r="E794" i="1" a="1"/>
  <c r="E794" i="1" s="1"/>
  <c r="E761" i="1" a="1"/>
  <c r="E761" i="1" s="1"/>
  <c r="E60" i="1" a="1"/>
  <c r="E60" i="1" s="1"/>
  <c r="E688" i="1" a="1"/>
  <c r="E688" i="1" s="1"/>
  <c r="E1348" i="1" a="1"/>
  <c r="E1348" i="1" s="1"/>
  <c r="E1332" i="1" a="1"/>
  <c r="E1332" i="1" s="1"/>
  <c r="E612" i="1" a="1"/>
  <c r="E612" i="1" s="1"/>
  <c r="E975" i="1" a="1"/>
  <c r="E975" i="1" s="1"/>
  <c r="E310" i="1" a="1"/>
  <c r="E310" i="1" s="1"/>
  <c r="E669" i="1" a="1"/>
  <c r="E669" i="1" s="1"/>
  <c r="E126" i="1" a="1"/>
  <c r="E126" i="1" s="1"/>
  <c r="E359" i="1" a="1"/>
  <c r="E359" i="1" s="1"/>
  <c r="E542" i="1" a="1"/>
  <c r="E542" i="1" s="1"/>
  <c r="E776" i="1" a="1"/>
  <c r="E776" i="1" s="1"/>
  <c r="E604" i="1" a="1"/>
  <c r="E604" i="1" s="1"/>
  <c r="E1097" i="1" a="1"/>
  <c r="E1097" i="1" s="1"/>
  <c r="E219" i="1" a="1"/>
  <c r="E219" i="1" s="1"/>
  <c r="E629" i="1" a="1"/>
  <c r="E629" i="1" s="1"/>
  <c r="E990" i="1" a="1"/>
  <c r="E990" i="1" s="1"/>
  <c r="E630" i="1" a="1"/>
  <c r="E630" i="1" s="1"/>
  <c r="E1044" i="1" a="1"/>
  <c r="E1044" i="1" s="1"/>
  <c r="E936" i="1" a="1"/>
  <c r="E936" i="1" s="1"/>
  <c r="E971" i="1" a="1"/>
  <c r="E971" i="1" s="1"/>
  <c r="E553" i="1" a="1"/>
  <c r="E553" i="1" s="1"/>
  <c r="E227" i="1" a="1"/>
  <c r="E227" i="1" s="1"/>
  <c r="E1311" i="1" a="1"/>
  <c r="E1311" i="1" s="1"/>
  <c r="E1354" i="1" a="1"/>
  <c r="E1354" i="1" s="1"/>
  <c r="E1235" i="1" a="1"/>
  <c r="E1235" i="1" s="1"/>
  <c r="E1268" i="1" a="1"/>
  <c r="E1268" i="1" s="1"/>
  <c r="E623" i="1" a="1"/>
  <c r="E623" i="1" s="1"/>
  <c r="E1286" i="1" a="1"/>
  <c r="E1286" i="1" s="1"/>
  <c r="E1159" i="1" a="1"/>
  <c r="E1159" i="1" s="1"/>
  <c r="E903" i="1" a="1"/>
  <c r="E903" i="1" s="1"/>
  <c r="E821" i="1" a="1"/>
  <c r="E821" i="1" s="1"/>
  <c r="E173" i="1" a="1"/>
  <c r="E173" i="1" s="1"/>
  <c r="E264" i="1" a="1"/>
  <c r="E264" i="1" s="1"/>
  <c r="E767" i="1" a="1"/>
  <c r="E767" i="1" s="1"/>
  <c r="F1308" i="1" l="1" a="1"/>
  <c r="F1308" i="1" s="1"/>
  <c r="F1058" i="1" a="1"/>
  <c r="F1058" i="1" s="1"/>
  <c r="F520" i="1" a="1"/>
  <c r="F520" i="1" s="1"/>
  <c r="F846" i="1" a="1"/>
  <c r="F846" i="1" s="1"/>
  <c r="F1231" i="1" a="1"/>
  <c r="F1231" i="1" s="1"/>
  <c r="F267" i="1" a="1"/>
  <c r="F267" i="1" s="1"/>
  <c r="F1079" i="1" a="1"/>
  <c r="F1079" i="1" s="1"/>
  <c r="F856" i="1" a="1"/>
  <c r="F856" i="1" s="1"/>
  <c r="F420" i="1" a="1"/>
  <c r="F420" i="1" s="1"/>
  <c r="F34" i="1" a="1"/>
  <c r="F34" i="1" s="1"/>
  <c r="F144" i="1" a="1"/>
  <c r="F144" i="1" s="1"/>
  <c r="F86" i="1" a="1"/>
  <c r="F8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FD8DAB-53B7-4443-8544-A2CAEA32C5C8}" keepAlive="1" name="Query - 22-25_teams" description="Connection to the '22-25_teams' query in the workbook." type="5" refreshedVersion="0" background="1">
    <dbPr connection="Provider=Microsoft.Mashup.OleDb.1;Data Source=$Workbook$;Location=22-25_teams;Extended Properties=&quot;&quot;" command="SELECT * FROM [22-25_teams]"/>
  </connection>
  <connection id="2" xr16:uid="{62987663-34BD-460A-8986-23CB651A42A6}" keepAlive="1" name="Query - Joint Team List" description="Connection to the 'Joint Team List' query in the workbook." type="5" refreshedVersion="8" background="1" saveData="1">
    <dbPr connection="Provider=Microsoft.Mashup.OleDb.1;Data Source=$Workbook$;Location=&quot;Joint Team List&quot;;Extended Properties=&quot;&quot;" command="SELECT * FROM [Joint Team Lis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<sst xmlns="http://schemas.openxmlformats.org/spreadsheetml/2006/main" count="3882" uniqueCount="1009">
  <si>
    <t>name</t>
  </si>
  <si>
    <t>division</t>
  </si>
  <si>
    <t>college</t>
  </si>
  <si>
    <t>year</t>
  </si>
  <si>
    <t>Ashleigh Elliss</t>
  </si>
  <si>
    <t>Griffin</t>
  </si>
  <si>
    <t>Steph Jones</t>
  </si>
  <si>
    <t>E Wen Wong</t>
  </si>
  <si>
    <t>Luisa David</t>
  </si>
  <si>
    <t>Fred Fifield</t>
  </si>
  <si>
    <t>Ursula</t>
  </si>
  <si>
    <t>Annabel Woolley</t>
  </si>
  <si>
    <t>CJ Strang</t>
  </si>
  <si>
    <t>Annabel Peak</t>
  </si>
  <si>
    <t>Roy Kuchel</t>
  </si>
  <si>
    <t>BNG</t>
  </si>
  <si>
    <t>Lucas Edmonds</t>
  </si>
  <si>
    <t>Colette Paterson</t>
  </si>
  <si>
    <t>Olivia Sanderson</t>
  </si>
  <si>
    <t>Johns</t>
  </si>
  <si>
    <t>India Sinclair</t>
  </si>
  <si>
    <t>Louis Ross</t>
  </si>
  <si>
    <t>Oliver Moore</t>
  </si>
  <si>
    <t>Freya McKinley-Rowe</t>
  </si>
  <si>
    <t>Ali Bolt</t>
  </si>
  <si>
    <t>Alex Perry-Dalton</t>
  </si>
  <si>
    <t>Jaz Bull</t>
  </si>
  <si>
    <t>Aidan Robinson</t>
  </si>
  <si>
    <t>Ethan James</t>
  </si>
  <si>
    <t>Julia Burge</t>
  </si>
  <si>
    <t>Lola Debell</t>
  </si>
  <si>
    <t>Hermione Campbell</t>
  </si>
  <si>
    <t>Amelia Larcombe</t>
  </si>
  <si>
    <t>James Harris</t>
  </si>
  <si>
    <t>Connor McKay</t>
  </si>
  <si>
    <t>Jusuf Putrawan</t>
  </si>
  <si>
    <t>Chris Vanoyen</t>
  </si>
  <si>
    <t>Joel Keith</t>
  </si>
  <si>
    <t>Oliver Ell</t>
  </si>
  <si>
    <t>Will Hardman</t>
  </si>
  <si>
    <t>Emily Rasheed</t>
  </si>
  <si>
    <t>Freya Lee</t>
  </si>
  <si>
    <t>Andie Comino</t>
  </si>
  <si>
    <t>Ruben Afanasiev</t>
  </si>
  <si>
    <t>Grace McKinnis</t>
  </si>
  <si>
    <t>Scarlett Cox</t>
  </si>
  <si>
    <t>Marco Cole</t>
  </si>
  <si>
    <t>Bella Thorne</t>
  </si>
  <si>
    <t>Lodge</t>
  </si>
  <si>
    <t>Abi Partridge</t>
  </si>
  <si>
    <t>Viggo Klasson</t>
  </si>
  <si>
    <t>Vicentia Stroe</t>
  </si>
  <si>
    <t>Gabby Kanizay</t>
  </si>
  <si>
    <t>James Ritchie</t>
  </si>
  <si>
    <t>Ollie Davey</t>
  </si>
  <si>
    <t>Ellie Austin</t>
  </si>
  <si>
    <t>Jacob George</t>
  </si>
  <si>
    <t>Lincoln Bland</t>
  </si>
  <si>
    <t>Hugo Bennett</t>
  </si>
  <si>
    <t>Oscar Veitch</t>
  </si>
  <si>
    <t>Molly Conquest</t>
  </si>
  <si>
    <t>Campbell Chesney</t>
  </si>
  <si>
    <t>Lucy Rockliff</t>
  </si>
  <si>
    <t>Joe Entwistle</t>
  </si>
  <si>
    <t>Lachlan O'Connor</t>
  </si>
  <si>
    <t>Mackenzie Cooke</t>
  </si>
  <si>
    <t>Hugh Ritchie</t>
  </si>
  <si>
    <t>Corey de Wit</t>
  </si>
  <si>
    <t>Gil Goodman</t>
  </si>
  <si>
    <t>Amber McCulloch</t>
  </si>
  <si>
    <t>Hannah Vardy</t>
  </si>
  <si>
    <t>Oscar Woolford</t>
  </si>
  <si>
    <t>Christian Piiroinen</t>
  </si>
  <si>
    <t>Joseph Roberts</t>
  </si>
  <si>
    <t>Benjamin Fairbrother</t>
  </si>
  <si>
    <t>Oscar McMillan</t>
  </si>
  <si>
    <t>James Collier</t>
  </si>
  <si>
    <t>Darcy Gilbert</t>
  </si>
  <si>
    <t>Sam Lusk</t>
  </si>
  <si>
    <t>Sophie Regan</t>
  </si>
  <si>
    <t>Tom Smith</t>
  </si>
  <si>
    <t>Toby Hauber</t>
  </si>
  <si>
    <t>Jace Nepean</t>
  </si>
  <si>
    <t>Isaac Gorline-Singleman</t>
  </si>
  <si>
    <t>Alana Degeling</t>
  </si>
  <si>
    <t>Daniel Hirst</t>
  </si>
  <si>
    <t>Ben Durkin</t>
  </si>
  <si>
    <t>Tom Dunbabin</t>
  </si>
  <si>
    <t>Victoria Xu</t>
  </si>
  <si>
    <t>Hayden Chan</t>
  </si>
  <si>
    <t>Owen Crofts</t>
  </si>
  <si>
    <t>Ethan Tudehope</t>
  </si>
  <si>
    <t>Jonathon Shiel-Dick</t>
  </si>
  <si>
    <t>Ella McKenzie</t>
  </si>
  <si>
    <t>Allegra Pirie</t>
  </si>
  <si>
    <t>Felix O'Brien</t>
  </si>
  <si>
    <t>Esther Bornstein</t>
  </si>
  <si>
    <t>Jackson O'Brien</t>
  </si>
  <si>
    <t>Daniel O'Neill</t>
  </si>
  <si>
    <t>Felix Lewis</t>
  </si>
  <si>
    <t>Caleb Addison</t>
  </si>
  <si>
    <t>Seb Addison</t>
  </si>
  <si>
    <t>Locklyn Krieukz</t>
  </si>
  <si>
    <t>Jonah Woodcock</t>
  </si>
  <si>
    <t>Ella Osborne</t>
  </si>
  <si>
    <t>Archie Yarrow</t>
  </si>
  <si>
    <t>Lachlan Carley</t>
  </si>
  <si>
    <t>Ashley Steele</t>
  </si>
  <si>
    <t>Yanglu Liu</t>
  </si>
  <si>
    <t>Emily Deszcz</t>
  </si>
  <si>
    <t>Cyrill Wicaksono</t>
  </si>
  <si>
    <t>Maxine Wu</t>
  </si>
  <si>
    <t>Jess Stanford</t>
  </si>
  <si>
    <t>Nicola Steele</t>
  </si>
  <si>
    <t>Alexandru Dobos</t>
  </si>
  <si>
    <t>Cameron Tregaskis</t>
  </si>
  <si>
    <t>Jessica Hayhoe</t>
  </si>
  <si>
    <t>Rhys Jones</t>
  </si>
  <si>
    <t>Holly Thompson</t>
  </si>
  <si>
    <t>Emily Grimes</t>
  </si>
  <si>
    <t>Elizabeth Caddy</t>
  </si>
  <si>
    <t>Nurul Azhar</t>
  </si>
  <si>
    <t>Sophia Boyce</t>
  </si>
  <si>
    <t>Bruce</t>
  </si>
  <si>
    <t>Benjamin Archibald</t>
  </si>
  <si>
    <t>Brodie Mears</t>
  </si>
  <si>
    <t>George Pourpouras</t>
  </si>
  <si>
    <t>Luke Marsh</t>
  </si>
  <si>
    <t>Eloise Baird</t>
  </si>
  <si>
    <t>Amelia Duggan</t>
  </si>
  <si>
    <t>Olive Swain</t>
  </si>
  <si>
    <t>Claudia Zybenko</t>
  </si>
  <si>
    <t>Burgmann</t>
  </si>
  <si>
    <t>Milly Dynan</t>
  </si>
  <si>
    <t>Will Darlow</t>
  </si>
  <si>
    <t>Taylor Deuchar</t>
  </si>
  <si>
    <t>Mesake Taulawakeiaho</t>
  </si>
  <si>
    <t>Fenner</t>
  </si>
  <si>
    <t>Mathieson Meakins</t>
  </si>
  <si>
    <t>Annabelle Blunt</t>
  </si>
  <si>
    <t>Claire Sonnek</t>
  </si>
  <si>
    <t>Lia Ladbrook</t>
  </si>
  <si>
    <t>Fergus Grave</t>
  </si>
  <si>
    <t>Oliver Payne</t>
  </si>
  <si>
    <t>Maddie Teychenne</t>
  </si>
  <si>
    <t>Mac Finlayson</t>
  </si>
  <si>
    <t>Lily Axford</t>
  </si>
  <si>
    <t>Hugh Calder</t>
  </si>
  <si>
    <t>Darcy Webster-Jones</t>
  </si>
  <si>
    <t>Estelle Morgan</t>
  </si>
  <si>
    <t>Lachlan Hunt</t>
  </si>
  <si>
    <t>Leo Burgess</t>
  </si>
  <si>
    <t>Oskar Bohm</t>
  </si>
  <si>
    <t>Mei Gethen</t>
  </si>
  <si>
    <t>Amber Thomas</t>
  </si>
  <si>
    <t>Jono Mildenhall</t>
  </si>
  <si>
    <t>Andrew De Montfort</t>
  </si>
  <si>
    <t>Evan Briggs</t>
  </si>
  <si>
    <t>Riley Brion</t>
  </si>
  <si>
    <t>Emily Mitchell</t>
  </si>
  <si>
    <t>Luke Sinden</t>
  </si>
  <si>
    <t>Julian Brischetto</t>
  </si>
  <si>
    <t>Hunter Trumble</t>
  </si>
  <si>
    <t>Flora Munro</t>
  </si>
  <si>
    <t>Anna Callan</t>
  </si>
  <si>
    <t>Lucas Clapham</t>
  </si>
  <si>
    <t>Oscar Brundell</t>
  </si>
  <si>
    <t>Duncan Currie</t>
  </si>
  <si>
    <t>Agalya Senthil-Kumar</t>
  </si>
  <si>
    <t>Jasper Walsh</t>
  </si>
  <si>
    <t>Owen Chenhall</t>
  </si>
  <si>
    <t>Nea Shingler</t>
  </si>
  <si>
    <t>Kelso Wentworth</t>
  </si>
  <si>
    <t>Milly Hobbs</t>
  </si>
  <si>
    <t>Annabel Plummer</t>
  </si>
  <si>
    <t>Lily Elias</t>
  </si>
  <si>
    <t>Kendra Fitzpatrick</t>
  </si>
  <si>
    <t>James Johnston</t>
  </si>
  <si>
    <t>Nicholas Boffa</t>
  </si>
  <si>
    <t>Hamish McEwen</t>
  </si>
  <si>
    <t>Arthur Smart</t>
  </si>
  <si>
    <t>Emilie Garside</t>
  </si>
  <si>
    <t>Emily Bannister</t>
  </si>
  <si>
    <t>Louis Bartlett</t>
  </si>
  <si>
    <t>Mia Booth</t>
  </si>
  <si>
    <t>Gordon Yuan</t>
  </si>
  <si>
    <t>Maya Moloney</t>
  </si>
  <si>
    <t>Molly Lilley</t>
  </si>
  <si>
    <t>Ella Hobson</t>
  </si>
  <si>
    <t>Ruby Straker</t>
  </si>
  <si>
    <t>Max Dewhurst</t>
  </si>
  <si>
    <t>Rose Dowdle</t>
  </si>
  <si>
    <t>Billy Fuller</t>
  </si>
  <si>
    <t>Claudia Biddle</t>
  </si>
  <si>
    <t>Mia Brischetto</t>
  </si>
  <si>
    <t>Tabitha Stratton</t>
  </si>
  <si>
    <t>Emily Osborn</t>
  </si>
  <si>
    <t>Angela Xie</t>
  </si>
  <si>
    <t>Gracie Danielson</t>
  </si>
  <si>
    <t>Ethan Zhu</t>
  </si>
  <si>
    <t>Thomas Dummel</t>
  </si>
  <si>
    <t>Tom LaForgia</t>
  </si>
  <si>
    <t>Christopher Bradley</t>
  </si>
  <si>
    <t>Guyver Fu</t>
  </si>
  <si>
    <t>Justin Cementon</t>
  </si>
  <si>
    <t>Toby Lang</t>
  </si>
  <si>
    <t>Lachlan McDonald</t>
  </si>
  <si>
    <t>Nicholas Brennan</t>
  </si>
  <si>
    <t>Harrison Arnold</t>
  </si>
  <si>
    <t>Harrison Flynn</t>
  </si>
  <si>
    <t>Sasha Saulwick</t>
  </si>
  <si>
    <t>Tom Vercoe</t>
  </si>
  <si>
    <t>Ben Noonan</t>
  </si>
  <si>
    <t>Chen Yan</t>
  </si>
  <si>
    <t>Jasmine Burton</t>
  </si>
  <si>
    <t>Clare McGirr</t>
  </si>
  <si>
    <t>Matthew Scolyer</t>
  </si>
  <si>
    <t>Samuel Joffy</t>
  </si>
  <si>
    <t>Alex Kidston</t>
  </si>
  <si>
    <t>Sarah Wang</t>
  </si>
  <si>
    <t>Izzy Skarrot</t>
  </si>
  <si>
    <t>Sophie Radajewski</t>
  </si>
  <si>
    <t>Josie Lemm</t>
  </si>
  <si>
    <t>Zac Needham</t>
  </si>
  <si>
    <t>Ali Elkins</t>
  </si>
  <si>
    <t>Samuel Szatmary Sullivan</t>
  </si>
  <si>
    <t>Jethro Phillips</t>
  </si>
  <si>
    <t>Oliver Segerman</t>
  </si>
  <si>
    <t>Jye Turner</t>
  </si>
  <si>
    <t>Eleanor Bock</t>
  </si>
  <si>
    <t>Sabina Engelhard</t>
  </si>
  <si>
    <t>Alex Buyck</t>
  </si>
  <si>
    <t>Jacquie Ryan</t>
  </si>
  <si>
    <t>Ned Hart</t>
  </si>
  <si>
    <t>Christopher Shannon</t>
  </si>
  <si>
    <t>James Neal</t>
  </si>
  <si>
    <t>Bella Yates</t>
  </si>
  <si>
    <t>Carolina Machliss</t>
  </si>
  <si>
    <t>Ella Ross</t>
  </si>
  <si>
    <t>Alice Gilbert</t>
  </si>
  <si>
    <t>Lily Adams</t>
  </si>
  <si>
    <t>Yukeembruk</t>
  </si>
  <si>
    <t>Patrick Leech</t>
  </si>
  <si>
    <t>Mia Armstrong</t>
  </si>
  <si>
    <t>George Page</t>
  </si>
  <si>
    <t>Sasha Feldmann</t>
  </si>
  <si>
    <t>Gea Linggar Galih</t>
  </si>
  <si>
    <t>Adam Van Wessel</t>
  </si>
  <si>
    <t>Douglas Shuttleworth</t>
  </si>
  <si>
    <t>Nathan Sharp</t>
  </si>
  <si>
    <t>Wright</t>
  </si>
  <si>
    <t>Drew Davison</t>
  </si>
  <si>
    <t>Hannah Wang</t>
  </si>
  <si>
    <t>Harshill Bothra</t>
  </si>
  <si>
    <t>Olivia Yates</t>
  </si>
  <si>
    <t>Josh Herridge</t>
  </si>
  <si>
    <t>Max Beckmann</t>
  </si>
  <si>
    <t>Alex Dry</t>
  </si>
  <si>
    <t>Laszlo Vodopivec</t>
  </si>
  <si>
    <t>Annika Sommer</t>
  </si>
  <si>
    <t>Owen Isaacs</t>
  </si>
  <si>
    <t>Eloisa Belmar</t>
  </si>
  <si>
    <t>Joseph Rabinowitz</t>
  </si>
  <si>
    <t>Brigid Webb</t>
  </si>
  <si>
    <t>Rick Dewar</t>
  </si>
  <si>
    <t>Chelsea Armstrong</t>
  </si>
  <si>
    <t>Wamburun</t>
  </si>
  <si>
    <t>Olivia Taylor</t>
  </si>
  <si>
    <t>Georgia Gunawan</t>
  </si>
  <si>
    <t>Charlotte Mcaleer</t>
  </si>
  <si>
    <t>Val Holland</t>
  </si>
  <si>
    <t>May Thu</t>
  </si>
  <si>
    <t>Ollie Stocks</t>
  </si>
  <si>
    <t>Alex Luk</t>
  </si>
  <si>
    <t>Arthur Bradley</t>
  </si>
  <si>
    <t>Kiara Carpenter</t>
  </si>
  <si>
    <t>James Brandon</t>
  </si>
  <si>
    <t>Charlie Green</t>
  </si>
  <si>
    <t>Callum Bendall</t>
  </si>
  <si>
    <t>Alex Smyth</t>
  </si>
  <si>
    <t>Trenton Schulinus</t>
  </si>
  <si>
    <t>Tom Ryan</t>
  </si>
  <si>
    <t>Charlie Tapsfield</t>
  </si>
  <si>
    <t>Tom Rollo</t>
  </si>
  <si>
    <t>Char Symington</t>
  </si>
  <si>
    <t>Sophie Way</t>
  </si>
  <si>
    <t>Zoe Wang</t>
  </si>
  <si>
    <t>Isi Reed</t>
  </si>
  <si>
    <t>Jessie Dawson</t>
  </si>
  <si>
    <t>Sam Odgers</t>
  </si>
  <si>
    <t>Tom Carlisle</t>
  </si>
  <si>
    <t>Owen Yates</t>
  </si>
  <si>
    <t>Kiki Barnes</t>
  </si>
  <si>
    <t>Noa Sulcas</t>
  </si>
  <si>
    <t>Mei Wyithe</t>
  </si>
  <si>
    <t>Bella Parton</t>
  </si>
  <si>
    <t>Emily Condron</t>
  </si>
  <si>
    <t>Hamish Fyffe</t>
  </si>
  <si>
    <t>Tristan Haywood</t>
  </si>
  <si>
    <t>Alyssa De Leon</t>
  </si>
  <si>
    <t>Adam Scott</t>
  </si>
  <si>
    <t>Ciara Braine</t>
  </si>
  <si>
    <t>Matt Kernohan</t>
  </si>
  <si>
    <t>Josh Banks</t>
  </si>
  <si>
    <t>Marcus Warner</t>
  </si>
  <si>
    <t>Ben Ward</t>
  </si>
  <si>
    <t>Saskia Hughes</t>
  </si>
  <si>
    <t>Joshua Reynolds</t>
  </si>
  <si>
    <t>Grace Mullins</t>
  </si>
  <si>
    <t>Nate Runge</t>
  </si>
  <si>
    <t>Harry Fortune</t>
  </si>
  <si>
    <t>Flynn Groen-In't-Woud</t>
  </si>
  <si>
    <t>Thomas Gleeson</t>
  </si>
  <si>
    <t>Reece McRitchie</t>
  </si>
  <si>
    <t>Jayden Lee</t>
  </si>
  <si>
    <t>Avian Doube-Villeneuve</t>
  </si>
  <si>
    <t>Lisa Cary</t>
  </si>
  <si>
    <t>Lasen Silva</t>
  </si>
  <si>
    <t>Laurence Gunn</t>
  </si>
  <si>
    <t>Angela Rubie</t>
  </si>
  <si>
    <t>Finn de Mars</t>
  </si>
  <si>
    <t>John Weisenfeld</t>
  </si>
  <si>
    <t>Abby Kidston</t>
  </si>
  <si>
    <t>Eve Kelly</t>
  </si>
  <si>
    <t>Charlie Fitz</t>
  </si>
  <si>
    <t>Patrick Fullilove</t>
  </si>
  <si>
    <t>Jamie Ford</t>
  </si>
  <si>
    <t>Annabeth Zhao</t>
  </si>
  <si>
    <t>Kyle Petrusa</t>
  </si>
  <si>
    <t>Alice Brenham</t>
  </si>
  <si>
    <t>Kasey Bond</t>
  </si>
  <si>
    <t>Finn Towner</t>
  </si>
  <si>
    <t>Matthew Maher</t>
  </si>
  <si>
    <t>Tom Delaney</t>
  </si>
  <si>
    <t>Allen Chen</t>
  </si>
  <si>
    <t>Mackenzie Tulips</t>
  </si>
  <si>
    <t>Darby Edgeworth</t>
  </si>
  <si>
    <t>Jackson Court</t>
  </si>
  <si>
    <t>Hannah Benhassine</t>
  </si>
  <si>
    <t>Emma Powell</t>
  </si>
  <si>
    <t>Steph Lee</t>
  </si>
  <si>
    <t>Romy Burke</t>
  </si>
  <si>
    <t>Alexander Harrison</t>
  </si>
  <si>
    <t>Thomas Donda</t>
  </si>
  <si>
    <t>Jeremy Herzog</t>
  </si>
  <si>
    <t>Nicholas Stratton</t>
  </si>
  <si>
    <t>Chapman Tanner</t>
  </si>
  <si>
    <t>Louis Bartos</t>
  </si>
  <si>
    <t>James Reid</t>
  </si>
  <si>
    <t>Kylie Shi</t>
  </si>
  <si>
    <t>Toby Kitchen</t>
  </si>
  <si>
    <t>Sumi Kong</t>
  </si>
  <si>
    <t>Helena Widenborg</t>
  </si>
  <si>
    <t>James Molloy</t>
  </si>
  <si>
    <t>Kyan McLean</t>
  </si>
  <si>
    <t>Sophie Holloway</t>
  </si>
  <si>
    <t>Amelie Clarke</t>
  </si>
  <si>
    <t>Alicia Fox</t>
  </si>
  <si>
    <t>Ben Campbell</t>
  </si>
  <si>
    <t>Niamh Craven</t>
  </si>
  <si>
    <t>Max Montague-Jones</t>
  </si>
  <si>
    <t>Genevieve O'Brien</t>
  </si>
  <si>
    <t>Acorn Holmes a Court</t>
  </si>
  <si>
    <t>Matthew Allen</t>
  </si>
  <si>
    <t>James Roche</t>
  </si>
  <si>
    <t>Scott Ferrageau de St Amand</t>
  </si>
  <si>
    <t>Braedy Jaugietis</t>
  </si>
  <si>
    <t>Lily Delves</t>
  </si>
  <si>
    <t>Lauren Moloney</t>
  </si>
  <si>
    <t>Sarah Munstermann</t>
  </si>
  <si>
    <t>Ruby Casey</t>
  </si>
  <si>
    <t>Zac Hall-Johnston</t>
  </si>
  <si>
    <t>Anouk Bennett</t>
  </si>
  <si>
    <t>Millie Mcinnes</t>
  </si>
  <si>
    <t>Daniel Rice</t>
  </si>
  <si>
    <t>Mirah Larkin</t>
  </si>
  <si>
    <t>Kai Thomas</t>
  </si>
  <si>
    <t>Hannah Stewart</t>
  </si>
  <si>
    <t>Alex Cahill</t>
  </si>
  <si>
    <t>Lauren Holmes</t>
  </si>
  <si>
    <t>Kenny Arcangeli</t>
  </si>
  <si>
    <t>Theo Harkins</t>
  </si>
  <si>
    <t>Marissa Ellis</t>
  </si>
  <si>
    <t>Bridget Lunn</t>
  </si>
  <si>
    <t>Conor Ammett</t>
  </si>
  <si>
    <t>Flynn Nyhof</t>
  </si>
  <si>
    <t>Bradley Chan</t>
  </si>
  <si>
    <t>Ed Johnstone</t>
  </si>
  <si>
    <t>Grace Rodsjo</t>
  </si>
  <si>
    <t>Harry Silke</t>
  </si>
  <si>
    <t>Leo Fairley</t>
  </si>
  <si>
    <t>Jacob Gome</t>
  </si>
  <si>
    <t>Blaize Steele</t>
  </si>
  <si>
    <t>Matthew Maliszewski</t>
  </si>
  <si>
    <t>Archie Grainger</t>
  </si>
  <si>
    <t>Tom Skeffington</t>
  </si>
  <si>
    <t>Charlie Simmonds</t>
  </si>
  <si>
    <t>Nina Manning</t>
  </si>
  <si>
    <t>Beatrix Dimsey</t>
  </si>
  <si>
    <t>Peter Woodhead</t>
  </si>
  <si>
    <t>Daniel Martin</t>
  </si>
  <si>
    <t>Phoebe Lines</t>
  </si>
  <si>
    <t>Ryan Schneider</t>
  </si>
  <si>
    <t>Phoebe Evans</t>
  </si>
  <si>
    <t>Tom Plaisted</t>
  </si>
  <si>
    <t>Corbin Ellis</t>
  </si>
  <si>
    <t>Sally Danks</t>
  </si>
  <si>
    <t>Oscar Joyce-Thomson</t>
  </si>
  <si>
    <t>Lizzy Drennan</t>
  </si>
  <si>
    <t>James Kitchin</t>
  </si>
  <si>
    <t>Matilde Cullen</t>
  </si>
  <si>
    <t>Will Gardiner</t>
  </si>
  <si>
    <t>William Smith</t>
  </si>
  <si>
    <t>Ed Wilson-Brown</t>
  </si>
  <si>
    <t>Max Thomas</t>
  </si>
  <si>
    <t>Duncan Loane</t>
  </si>
  <si>
    <t>Callum Weppler</t>
  </si>
  <si>
    <t>Liam McPherson</t>
  </si>
  <si>
    <t>Elentari Berryman</t>
  </si>
  <si>
    <t>Jonathan Gillard</t>
  </si>
  <si>
    <t>Simarpreet Gill</t>
  </si>
  <si>
    <t>Sienna McRae</t>
  </si>
  <si>
    <t>Amelie Happe</t>
  </si>
  <si>
    <t>Hamish Fragiacomo</t>
  </si>
  <si>
    <t>Emma Livingstone</t>
  </si>
  <si>
    <t>Giordano Genero</t>
  </si>
  <si>
    <t>Ella Fitzpatrick</t>
  </si>
  <si>
    <t>Leah Nichols</t>
  </si>
  <si>
    <t>Fran Cruickshank</t>
  </si>
  <si>
    <t>Ciaran Lane</t>
  </si>
  <si>
    <t>Jonathan Fearn</t>
  </si>
  <si>
    <t>Mark Glanville</t>
  </si>
  <si>
    <t>Kieran Wilson</t>
  </si>
  <si>
    <t>Alexander Brett</t>
  </si>
  <si>
    <t>Anjali Lambotharan</t>
  </si>
  <si>
    <t>Jade Cross</t>
  </si>
  <si>
    <t>Elissa Baker</t>
  </si>
  <si>
    <t>Hannah Nelson</t>
  </si>
  <si>
    <t>Noah Holicky</t>
  </si>
  <si>
    <t>Eloise Wilson</t>
  </si>
  <si>
    <t>Ulrika Wilson</t>
  </si>
  <si>
    <t>Martin Duong</t>
  </si>
  <si>
    <t>Sophie Halliday</t>
  </si>
  <si>
    <t>Guy Archibald</t>
  </si>
  <si>
    <t>Sam Smith</t>
  </si>
  <si>
    <t>Rowena Taylor</t>
  </si>
  <si>
    <t>Lachlan Plew</t>
  </si>
  <si>
    <t>Harry Wu</t>
  </si>
  <si>
    <t>Cian Bowes</t>
  </si>
  <si>
    <t>Alex Mirrlees-Black</t>
  </si>
  <si>
    <t>Emma Strohfeldt</t>
  </si>
  <si>
    <t>Anish Singhal</t>
  </si>
  <si>
    <t>Mikayla Hopkins</t>
  </si>
  <si>
    <t>Sacha Bennet</t>
  </si>
  <si>
    <t>Joe Goodwin</t>
  </si>
  <si>
    <t>William Key</t>
  </si>
  <si>
    <t>Josh Gale</t>
  </si>
  <si>
    <t>Ewan Benari</t>
  </si>
  <si>
    <t>Sarah Curtis</t>
  </si>
  <si>
    <t>Ben Vanstone</t>
  </si>
  <si>
    <t>Thomas Derwent</t>
  </si>
  <si>
    <t>Juliet Quinlivan</t>
  </si>
  <si>
    <t>Alex Bako</t>
  </si>
  <si>
    <t>Taffy Mills-Hicks</t>
  </si>
  <si>
    <t>Hugh Pentland</t>
  </si>
  <si>
    <t>Sam Long</t>
  </si>
  <si>
    <t>Gus Dowdle</t>
  </si>
  <si>
    <t>Ben Tapsell</t>
  </si>
  <si>
    <t>Sophia Buller</t>
  </si>
  <si>
    <t>Cormac O'Callaghan</t>
  </si>
  <si>
    <t>Samantha Williams</t>
  </si>
  <si>
    <t>Nicholas Mahoney</t>
  </si>
  <si>
    <t>Saskia Newman</t>
  </si>
  <si>
    <t>Greg Lane</t>
  </si>
  <si>
    <t>Riley Lane</t>
  </si>
  <si>
    <t>Dean Pham</t>
  </si>
  <si>
    <t>Burnum Brademann</t>
  </si>
  <si>
    <t>Hartley Lucas</t>
  </si>
  <si>
    <t>Dylan McHatton</t>
  </si>
  <si>
    <t>Ramoose Tan</t>
  </si>
  <si>
    <t>Patrick O'Connor</t>
  </si>
  <si>
    <t>Hannah Lovlin</t>
  </si>
  <si>
    <t>Oliver James</t>
  </si>
  <si>
    <t>Caspian Nicholls</t>
  </si>
  <si>
    <t>Addison Eastway</t>
  </si>
  <si>
    <t>Deklyn Reid</t>
  </si>
  <si>
    <t>Clarissa Blum</t>
  </si>
  <si>
    <t>Fynn George</t>
  </si>
  <si>
    <t>Eloise Parker</t>
  </si>
  <si>
    <t>Avital Gottheiner</t>
  </si>
  <si>
    <t>Tommi Silvester</t>
  </si>
  <si>
    <t>Hamish Whyte</t>
  </si>
  <si>
    <t>Olivia Hamilton</t>
  </si>
  <si>
    <t>Moss Thompson</t>
  </si>
  <si>
    <t>Charlie Jones</t>
  </si>
  <si>
    <t>Ryan Horrigan</t>
  </si>
  <si>
    <t>Cameron Wallace</t>
  </si>
  <si>
    <t>Jack Richardson</t>
  </si>
  <si>
    <t>Callum Houston</t>
  </si>
  <si>
    <t>Olivia Vigneault</t>
  </si>
  <si>
    <t>Ioan Hastie</t>
  </si>
  <si>
    <t>Charlie Cameron</t>
  </si>
  <si>
    <t>Hamish Robertson</t>
  </si>
  <si>
    <t>Stephanie Bare</t>
  </si>
  <si>
    <t>Anousheh Moonen</t>
  </si>
  <si>
    <t>Lilli Krawitz</t>
  </si>
  <si>
    <t>Georgia Borschmann</t>
  </si>
  <si>
    <t>Zoe O'Dwyer</t>
  </si>
  <si>
    <t>Kate Morton</t>
  </si>
  <si>
    <t>Ben Grace</t>
  </si>
  <si>
    <t>Ari Duchen</t>
  </si>
  <si>
    <t>Matthew Foster</t>
  </si>
  <si>
    <t>James Klol</t>
  </si>
  <si>
    <t>Max Hoare</t>
  </si>
  <si>
    <t>Sarah Turner</t>
  </si>
  <si>
    <t>Lilian Trinh Do</t>
  </si>
  <si>
    <t>Alicia Kirwan</t>
  </si>
  <si>
    <t>Kyle Cavanagh</t>
  </si>
  <si>
    <t>Indira Shinn Rees</t>
  </si>
  <si>
    <t>William Thompson</t>
  </si>
  <si>
    <t>Olivia Roulstone</t>
  </si>
  <si>
    <t>Maddie Williams</t>
  </si>
  <si>
    <t>Ranit Bose</t>
  </si>
  <si>
    <t>Cormac Kikkert</t>
  </si>
  <si>
    <t>Timothy Memmolo</t>
  </si>
  <si>
    <t>Lucy West</t>
  </si>
  <si>
    <t>Tilly Wenck</t>
  </si>
  <si>
    <t>Henry Brigstocke</t>
  </si>
  <si>
    <t>Jess Lowry</t>
  </si>
  <si>
    <t>Saskia Junge</t>
  </si>
  <si>
    <t>Xavier Madden</t>
  </si>
  <si>
    <t>Elise Palethorpe</t>
  </si>
  <si>
    <t>David Stocks</t>
  </si>
  <si>
    <t>Ryan Stocks</t>
  </si>
  <si>
    <t>Isaac Walker</t>
  </si>
  <si>
    <t>Ed Mackinnon</t>
  </si>
  <si>
    <t>Lucaya Rich</t>
  </si>
  <si>
    <t>Ellie Cooper</t>
  </si>
  <si>
    <t>Pia Cunningham</t>
  </si>
  <si>
    <t>Simone Brysland</t>
  </si>
  <si>
    <t>Mekala Navaratne</t>
  </si>
  <si>
    <t>Aleisha Knack</t>
  </si>
  <si>
    <t>Rebecca Bjerke</t>
  </si>
  <si>
    <t>Gigi Hall</t>
  </si>
  <si>
    <t>Tommy Watts</t>
  </si>
  <si>
    <t>Steve Phillips</t>
  </si>
  <si>
    <t>Ava Hookway</t>
  </si>
  <si>
    <t>Hazel AD</t>
  </si>
  <si>
    <t>Ronan Ciuffa</t>
  </si>
  <si>
    <t>Chloe Woodburn</t>
  </si>
  <si>
    <t>Paul Pedreno</t>
  </si>
  <si>
    <t>Annabel Maple-Brown</t>
  </si>
  <si>
    <t>Sam Ostrowski</t>
  </si>
  <si>
    <t>Mitchell Anderson</t>
  </si>
  <si>
    <t>Alex Chu</t>
  </si>
  <si>
    <t>Christopher Ross</t>
  </si>
  <si>
    <t>Maddy Perrignon</t>
  </si>
  <si>
    <t>Rozie Higgs</t>
  </si>
  <si>
    <t>Patrick Mason</t>
  </si>
  <si>
    <t>Samuel MacRae</t>
  </si>
  <si>
    <t>Annabelle Daniels</t>
  </si>
  <si>
    <t>Mackenzie Kane</t>
  </si>
  <si>
    <t>Ellie Shuetrim</t>
  </si>
  <si>
    <t>Clancy Goodrum</t>
  </si>
  <si>
    <t>Terence Wiseham</t>
  </si>
  <si>
    <t>Jack Gooday</t>
  </si>
  <si>
    <t>Oliver Stephens</t>
  </si>
  <si>
    <t>Emily Scolyer</t>
  </si>
  <si>
    <t>Ashlee Treagus</t>
  </si>
  <si>
    <t>Angus Myerscough</t>
  </si>
  <si>
    <t>Noah Baldwin</t>
  </si>
  <si>
    <t>Mya Dellow</t>
  </si>
  <si>
    <t>Jessie Mahar</t>
  </si>
  <si>
    <t>James Nouri-Azari</t>
  </si>
  <si>
    <t>Noemie Ah Chong</t>
  </si>
  <si>
    <t>Tom Priestley</t>
  </si>
  <si>
    <t>Jonathan Toon</t>
  </si>
  <si>
    <t>Jordan King</t>
  </si>
  <si>
    <t>Rachel Arthur</t>
  </si>
  <si>
    <t>Thomas Skilbeck</t>
  </si>
  <si>
    <t>Scout Hollyman</t>
  </si>
  <si>
    <t>Samuel Garbellini</t>
  </si>
  <si>
    <t>Emily Barelle</t>
  </si>
  <si>
    <t>Rosie Sewell</t>
  </si>
  <si>
    <t>Louis Thiverge</t>
  </si>
  <si>
    <t>Lynn Tang</t>
  </si>
  <si>
    <t>Matilde Fjeldso Larson</t>
  </si>
  <si>
    <t>Felix Archibald</t>
  </si>
  <si>
    <t>Nicholas Bull</t>
  </si>
  <si>
    <t>Eilif Storaunet Sandvik</t>
  </si>
  <si>
    <t>Claudia Petrie</t>
  </si>
  <si>
    <t>Ruby Selikowitz</t>
  </si>
  <si>
    <t>Meg Rankin</t>
  </si>
  <si>
    <t>Katie MacDonald</t>
  </si>
  <si>
    <t>Lorenzo Ryan</t>
  </si>
  <si>
    <t>Tom Neal</t>
  </si>
  <si>
    <t>Adrian Thompson</t>
  </si>
  <si>
    <t>Nicole Dann</t>
  </si>
  <si>
    <t>Haruto Ihaya</t>
  </si>
  <si>
    <t>Samuel Ingloff-Richards</t>
  </si>
  <si>
    <t>Mia Oberin</t>
  </si>
  <si>
    <t>Rose Thompson</t>
  </si>
  <si>
    <t>Fin Isaacs</t>
  </si>
  <si>
    <t>Rohan Stannage</t>
  </si>
  <si>
    <t>Krystof Zajicek</t>
  </si>
  <si>
    <t>Noah Tan</t>
  </si>
  <si>
    <t>Lauren Murphy</t>
  </si>
  <si>
    <t>Jessica Redden</t>
  </si>
  <si>
    <t>Ethan Chan</t>
  </si>
  <si>
    <t>Will Rumsby</t>
  </si>
  <si>
    <t>Alex Leberne</t>
  </si>
  <si>
    <t>Isabelle Dunk</t>
  </si>
  <si>
    <t>Anna Cohen</t>
  </si>
  <si>
    <t>Tim Lindley</t>
  </si>
  <si>
    <t>Ryan Leonard</t>
  </si>
  <si>
    <t>Jacob Bos</t>
  </si>
  <si>
    <t>Gus Oxenham</t>
  </si>
  <si>
    <t>Alex Tatkovic</t>
  </si>
  <si>
    <t>Benjamin Nolan</t>
  </si>
  <si>
    <t>Alana Henderson</t>
  </si>
  <si>
    <t>Charlie Durkin</t>
  </si>
  <si>
    <t>Damon Reynolds</t>
  </si>
  <si>
    <t>Eugenie Rickard</t>
  </si>
  <si>
    <t>Isabella Lilford</t>
  </si>
  <si>
    <t>Mariead O'Connell-Lacy</t>
  </si>
  <si>
    <t>Indiana O'Loughlin</t>
  </si>
  <si>
    <t>Mohak Garg</t>
  </si>
  <si>
    <t>Attasith Kajornrungsilp</t>
  </si>
  <si>
    <t>Chelsea Madden</t>
  </si>
  <si>
    <t>Helena Wong Hansen</t>
  </si>
  <si>
    <t>Wyatt Raynal</t>
  </si>
  <si>
    <t>Ben Hofmann</t>
  </si>
  <si>
    <t>Will Maxwell</t>
  </si>
  <si>
    <t>Ollie Freeman</t>
  </si>
  <si>
    <t>Callum Duncan-Keen</t>
  </si>
  <si>
    <t>Patrick Gleeson</t>
  </si>
  <si>
    <t>Joly Harrison-Murray</t>
  </si>
  <si>
    <t>Kirsty Frykberg</t>
  </si>
  <si>
    <t>William Burfoot</t>
  </si>
  <si>
    <t>Molly Newton</t>
  </si>
  <si>
    <t>Chloe Bracher</t>
  </si>
  <si>
    <t>Hayden Mendoza</t>
  </si>
  <si>
    <t>Arthur Bond</t>
  </si>
  <si>
    <t>Cian Finn</t>
  </si>
  <si>
    <t>Oliver O'Neill</t>
  </si>
  <si>
    <t>William Tudehope</t>
  </si>
  <si>
    <t>Miles Johns</t>
  </si>
  <si>
    <t>Sophia Stevens</t>
  </si>
  <si>
    <t>Simon Little</t>
  </si>
  <si>
    <t>Lachlan Prien</t>
  </si>
  <si>
    <t>Kelvin Meng</t>
  </si>
  <si>
    <t>Marieke Bosman</t>
  </si>
  <si>
    <t>Liam Donnelly</t>
  </si>
  <si>
    <t>Ben Silke</t>
  </si>
  <si>
    <t>Christina Lim</t>
  </si>
  <si>
    <t>Oliver Lilford</t>
  </si>
  <si>
    <t>Lauren Holloway</t>
  </si>
  <si>
    <t>Jonny Hill</t>
  </si>
  <si>
    <t>Hadyn Tang</t>
  </si>
  <si>
    <t>Ulrika Wild</t>
  </si>
  <si>
    <t>Isabella Vacaflores</t>
  </si>
  <si>
    <t>Amy McEachern</t>
  </si>
  <si>
    <t>Lottie Midgely</t>
  </si>
  <si>
    <t>Rory Olsson</t>
  </si>
  <si>
    <t>Caleb Neill</t>
  </si>
  <si>
    <t>Gus Coleman</t>
  </si>
  <si>
    <t>Jack Pritchard</t>
  </si>
  <si>
    <t>George Lindsay</t>
  </si>
  <si>
    <t>Tali de Mestre</t>
  </si>
  <si>
    <t>Oliver Pulsford</t>
  </si>
  <si>
    <t>Jayden Spargo</t>
  </si>
  <si>
    <t>Max Taylor</t>
  </si>
  <si>
    <t>Eliza Ewington</t>
  </si>
  <si>
    <t>Edward Barrow</t>
  </si>
  <si>
    <t>Sienna O'Dea</t>
  </si>
  <si>
    <t>Cohen Saunders</t>
  </si>
  <si>
    <t>Tom Livingstone</t>
  </si>
  <si>
    <t>Zoe Crooke</t>
  </si>
  <si>
    <t>Ben Anderson</t>
  </si>
  <si>
    <t>Will Backwell</t>
  </si>
  <si>
    <t>Lucas Hempton</t>
  </si>
  <si>
    <t>Jack McKay</t>
  </si>
  <si>
    <t>Georgie Lyall</t>
  </si>
  <si>
    <t>Olivia Kibble</t>
  </si>
  <si>
    <t>Sam Linderman</t>
  </si>
  <si>
    <t>Amy Linderman</t>
  </si>
  <si>
    <t>Stephanie Murray</t>
  </si>
  <si>
    <t>Sam Thompson</t>
  </si>
  <si>
    <t>Josh Mitchell</t>
  </si>
  <si>
    <t>Nikolai Sas</t>
  </si>
  <si>
    <t>Flossie Corsham</t>
  </si>
  <si>
    <t>Alexander Norman</t>
  </si>
  <si>
    <t>Harry Powell</t>
  </si>
  <si>
    <t>Samuel Moloney</t>
  </si>
  <si>
    <t>Archie Horeman-Wren</t>
  </si>
  <si>
    <t>Hugh Coppell</t>
  </si>
  <si>
    <t>Kai Mitchell</t>
  </si>
  <si>
    <t>Adam Glanville</t>
  </si>
  <si>
    <t>Sarah Hamilton</t>
  </si>
  <si>
    <t>Jamie Graham</t>
  </si>
  <si>
    <t>Lizzy Mee</t>
  </si>
  <si>
    <t>Maitrey Khobragade</t>
  </si>
  <si>
    <t>Holly Dawson</t>
  </si>
  <si>
    <t>Brianna Wiseman</t>
  </si>
  <si>
    <t>Grover Lancaster-Cole</t>
  </si>
  <si>
    <t>Michaelie Trenbath</t>
  </si>
  <si>
    <t>Dine Yoo</t>
  </si>
  <si>
    <t>Hayley Tobin</t>
  </si>
  <si>
    <t>Lara Thurgood</t>
  </si>
  <si>
    <t>Tom Ludlow</t>
  </si>
  <si>
    <t>Adam Correa</t>
  </si>
  <si>
    <t>Emma Carey</t>
  </si>
  <si>
    <t>Noemie Leeder</t>
  </si>
  <si>
    <t>Josh Mercer</t>
  </si>
  <si>
    <t>Emily Thornton</t>
  </si>
  <si>
    <t>Patrick Guthridge</t>
  </si>
  <si>
    <t>Kelvin Peh</t>
  </si>
  <si>
    <t>Angus Crozier</t>
  </si>
  <si>
    <t>Emma Summerhayes</t>
  </si>
  <si>
    <t>Sissi Scott-Hickie</t>
  </si>
  <si>
    <t>Molly Sharrock</t>
  </si>
  <si>
    <t>Liah Naidoo</t>
  </si>
  <si>
    <t>Jin Kato</t>
  </si>
  <si>
    <t>Lachlan Obaydin</t>
  </si>
  <si>
    <t>Ellora Kelly</t>
  </si>
  <si>
    <t>Francesca Clarke</t>
  </si>
  <si>
    <t>Robin Briggen</t>
  </si>
  <si>
    <t>Hannah Price</t>
  </si>
  <si>
    <t>Pippa Buchanan</t>
  </si>
  <si>
    <t>Jackie Chan</t>
  </si>
  <si>
    <t>Oliver Blyth</t>
  </si>
  <si>
    <t>Ben C</t>
  </si>
  <si>
    <t>Paris Sharkie</t>
  </si>
  <si>
    <t>Nuria Olive</t>
  </si>
  <si>
    <t>placing</t>
  </si>
  <si>
    <t>NA</t>
  </si>
  <si>
    <t>DNF</t>
  </si>
  <si>
    <t>DQ</t>
  </si>
  <si>
    <t>time</t>
  </si>
  <si>
    <t>Khai Bowie</t>
  </si>
  <si>
    <t>Conor Oslington-Elliott</t>
  </si>
  <si>
    <t>Grand Total</t>
  </si>
  <si>
    <t>(Multiple Items)</t>
  </si>
  <si>
    <t>DNF/DQ</t>
  </si>
  <si>
    <t>Average finish time</t>
  </si>
  <si>
    <t>Division-Year</t>
  </si>
  <si>
    <t>drop</t>
  </si>
  <si>
    <t>cutoff</t>
  </si>
  <si>
    <t>available</t>
  </si>
  <si>
    <t>score</t>
  </si>
  <si>
    <t>finish</t>
  </si>
  <si>
    <t>winners</t>
  </si>
  <si>
    <t>remaining</t>
  </si>
  <si>
    <t>winners alt</t>
  </si>
  <si>
    <t>Div X1</t>
  </si>
  <si>
    <t>Div X2</t>
  </si>
  <si>
    <t>Div X3</t>
  </si>
  <si>
    <t>Div X4</t>
  </si>
  <si>
    <t>Div X5</t>
  </si>
  <si>
    <t>Div X6</t>
  </si>
  <si>
    <t>Div X7</t>
  </si>
  <si>
    <t>Gabe Hanich</t>
  </si>
  <si>
    <t>Leonor Rodrigues</t>
  </si>
  <si>
    <t>Max Mackay</t>
  </si>
  <si>
    <t>Remy Williams-Mcconnell</t>
  </si>
  <si>
    <t>Thomas Leech</t>
  </si>
  <si>
    <t>Toad</t>
  </si>
  <si>
    <t>Edward Johnstone</t>
  </si>
  <si>
    <t>Lily Johnston</t>
  </si>
  <si>
    <t>Gabriel Hanich</t>
  </si>
  <si>
    <t>Grace Danielson</t>
  </si>
  <si>
    <t>Riley Klose</t>
  </si>
  <si>
    <t>Ariel Vivian</t>
  </si>
  <si>
    <t>Isabelle Bannan</t>
  </si>
  <si>
    <t>Angus Murray</t>
  </si>
  <si>
    <t>Harry Greenfield</t>
  </si>
  <si>
    <t>Prue Burnet</t>
  </si>
  <si>
    <t>Sydney Richter</t>
  </si>
  <si>
    <t>Alex Tanner</t>
  </si>
  <si>
    <t>Eleanor Lawson</t>
  </si>
  <si>
    <t>Bridget Hinchliffe</t>
  </si>
  <si>
    <t>Loki D'Agnostino</t>
  </si>
  <si>
    <t>Harry Seeto</t>
  </si>
  <si>
    <t>Romy Frey</t>
  </si>
  <si>
    <t>Charlotte Bond</t>
  </si>
  <si>
    <t>Annabel Reith</t>
  </si>
  <si>
    <t>Sybilla Delaney</t>
  </si>
  <si>
    <t xml:space="preserve">Fenner </t>
  </si>
  <si>
    <t>Gdsl</t>
  </si>
  <si>
    <t>Aditya Singh Tejas</t>
  </si>
  <si>
    <t>Sidney Zhang</t>
  </si>
  <si>
    <t>Hamish</t>
  </si>
  <si>
    <t>Harry Talbot</t>
  </si>
  <si>
    <t>Stocks</t>
  </si>
  <si>
    <t>Tom Buller</t>
  </si>
  <si>
    <t>Angela Rubie (Angie)</t>
  </si>
  <si>
    <t>Aaryn Chieng</t>
  </si>
  <si>
    <t>Chadby</t>
  </si>
  <si>
    <t>Jack Lee</t>
  </si>
  <si>
    <t>Harry Flying</t>
  </si>
  <si>
    <t>Sachin Kellett</t>
  </si>
  <si>
    <t>Urvansh Shah (Uru)</t>
  </si>
  <si>
    <t>Flynn nyhof</t>
  </si>
  <si>
    <t>Ned Cole</t>
  </si>
  <si>
    <t>Chrizz Chadley</t>
  </si>
  <si>
    <t>Ben Fairbrother</t>
  </si>
  <si>
    <t>N: Drew Davison</t>
  </si>
  <si>
    <t>Hallie Boucher</t>
  </si>
  <si>
    <t>Lucas murray</t>
  </si>
  <si>
    <t>Charlotte Grant</t>
  </si>
  <si>
    <t>Neb</t>
  </si>
  <si>
    <t>James Hilsdon</t>
  </si>
  <si>
    <t>Rowan Strang</t>
  </si>
  <si>
    <t>Inez Corsby</t>
  </si>
  <si>
    <t>Jun Matsuda</t>
  </si>
  <si>
    <t>Caspar Bosscher</t>
  </si>
  <si>
    <t>Jeff Miao</t>
  </si>
  <si>
    <t>ChaDylan</t>
  </si>
  <si>
    <t>Maddie Hayes</t>
  </si>
  <si>
    <t>Carl Herre</t>
  </si>
  <si>
    <t>Julian Luca Berg</t>
  </si>
  <si>
    <t>Jamie Howarth-Carpenter</t>
  </si>
  <si>
    <t>Rad</t>
  </si>
  <si>
    <t>Sam Steele</t>
  </si>
  <si>
    <t>Indi Dark</t>
  </si>
  <si>
    <t xml:space="preserve">Lasen Silva </t>
  </si>
  <si>
    <t>McSlay</t>
  </si>
  <si>
    <t>Zoe Crabbe</t>
  </si>
  <si>
    <t>Grace Roberts</t>
  </si>
  <si>
    <t>Lola Hirzel</t>
  </si>
  <si>
    <t>Chris Mathur</t>
  </si>
  <si>
    <t>Kelvinator</t>
  </si>
  <si>
    <t>Issie Hunter</t>
  </si>
  <si>
    <t>Angus Wong</t>
  </si>
  <si>
    <t>Matthew Berglin (Matt)</t>
  </si>
  <si>
    <t>Cam Lunn</t>
  </si>
  <si>
    <t>Tom Laforgia</t>
  </si>
  <si>
    <t>Bianca Hoare</t>
  </si>
  <si>
    <t>Sally Parker</t>
  </si>
  <si>
    <t>Zoe Gray</t>
  </si>
  <si>
    <t>Godchie</t>
  </si>
  <si>
    <t>Chris Lovell</t>
  </si>
  <si>
    <t>Finn Vogels</t>
  </si>
  <si>
    <t>Joz</t>
  </si>
  <si>
    <t>Ben Davidson</t>
  </si>
  <si>
    <t>Charlie Daniel</t>
  </si>
  <si>
    <t>Harriet Gunn</t>
  </si>
  <si>
    <t>Ellie Davies</t>
  </si>
  <si>
    <t>Nic Mahoney</t>
  </si>
  <si>
    <t>Darcy Waugh</t>
  </si>
  <si>
    <t>Chadber McChadley</t>
  </si>
  <si>
    <t>Byron Banks</t>
  </si>
  <si>
    <t>Sam Reissenweber</t>
  </si>
  <si>
    <t>Thomas Rollo (Tom)</t>
  </si>
  <si>
    <t>Alyssa de Leon</t>
  </si>
  <si>
    <t>Storm Hasemer</t>
  </si>
  <si>
    <t>Monty Wraith</t>
  </si>
  <si>
    <t>Genevieve Beach</t>
  </si>
  <si>
    <t>ChrizzV</t>
  </si>
  <si>
    <t>Josh Riddle</t>
  </si>
  <si>
    <t>Abigail Spark</t>
  </si>
  <si>
    <t>Emma Broach</t>
  </si>
  <si>
    <t>Oliver Walsh</t>
  </si>
  <si>
    <t>Arianne Bannister</t>
  </si>
  <si>
    <t>Victor Serendeco</t>
  </si>
  <si>
    <t>Stella Farrow</t>
  </si>
  <si>
    <t>Dasher Stewart</t>
  </si>
  <si>
    <t>Izzy</t>
  </si>
  <si>
    <t>Jack Gannon</t>
  </si>
  <si>
    <t>Ethan Howard</t>
  </si>
  <si>
    <t>Reshmi Senanayke</t>
  </si>
  <si>
    <t>Sophie Waller</t>
  </si>
  <si>
    <t>Lachie Weber</t>
  </si>
  <si>
    <t>Charlotte Beardow</t>
  </si>
  <si>
    <t>Maddog Teychad</t>
  </si>
  <si>
    <t>Milly/Amelia? Larcombe</t>
  </si>
  <si>
    <t>Thea Hutchings</t>
  </si>
  <si>
    <t>Adeline Perrott</t>
  </si>
  <si>
    <t>Leann Tan</t>
  </si>
  <si>
    <t>Boffa</t>
  </si>
  <si>
    <t>Cambell Moorman</t>
  </si>
  <si>
    <t>Rizz</t>
  </si>
  <si>
    <t>Maddie Perkins</t>
  </si>
  <si>
    <t>Jake Cane</t>
  </si>
  <si>
    <t>Daniel Gibson</t>
  </si>
  <si>
    <t>Tom Curtis</t>
  </si>
  <si>
    <t>Jade Wilson</t>
  </si>
  <si>
    <t>Dylan Mchatton</t>
  </si>
  <si>
    <t>Ali Seal</t>
  </si>
  <si>
    <t>Zhanyuan Shao (January)</t>
  </si>
  <si>
    <t>Sarah Fisher</t>
  </si>
  <si>
    <t>Josh Lim</t>
  </si>
  <si>
    <t>Digby greenaway</t>
  </si>
  <si>
    <t>James Hewitt</t>
  </si>
  <si>
    <t>Michael Elliott</t>
  </si>
  <si>
    <t>Kiwi</t>
  </si>
  <si>
    <t>Shi Qiu</t>
  </si>
  <si>
    <t>Jack Beresford</t>
  </si>
  <si>
    <t xml:space="preserve">Liam Foran </t>
  </si>
  <si>
    <t>Han Leng Chai</t>
  </si>
  <si>
    <t>Hugo Baird</t>
  </si>
  <si>
    <t>Adrian Gunawan</t>
  </si>
  <si>
    <t>Tash Rourke</t>
  </si>
  <si>
    <t>Sybella Hawley</t>
  </si>
  <si>
    <t>Jeevika Dhanwani</t>
  </si>
  <si>
    <t>Sam S</t>
  </si>
  <si>
    <t>Alex Murray</t>
  </si>
  <si>
    <t>Charlie Granger</t>
  </si>
  <si>
    <t>Emily Flutter</t>
  </si>
  <si>
    <t>Jean-Louis Boas (Louis)</t>
  </si>
  <si>
    <t>Luke Sissons</t>
  </si>
  <si>
    <t>Freya lee</t>
  </si>
  <si>
    <t>Chatalie Chiller</t>
  </si>
  <si>
    <t>Eva Kenwood</t>
  </si>
  <si>
    <t xml:space="preserve">James Anderson </t>
  </si>
  <si>
    <t>N: Olivia Yates</t>
  </si>
  <si>
    <t>Sara Toyoda</t>
  </si>
  <si>
    <t>AJ Kasturi</t>
  </si>
  <si>
    <t>Ethan Menadue</t>
  </si>
  <si>
    <t>Stella Holmes a Court</t>
  </si>
  <si>
    <t>Indi</t>
  </si>
  <si>
    <t>Antonin</t>
  </si>
  <si>
    <t>Airlie Brockhoff</t>
  </si>
  <si>
    <t>Rhys Joseland</t>
  </si>
  <si>
    <t>Lexi Webster</t>
  </si>
  <si>
    <t>Aimee Choi</t>
  </si>
  <si>
    <t>Liye Fu</t>
  </si>
  <si>
    <t>Dorothea Lam</t>
  </si>
  <si>
    <t>Makayla De Jonge</t>
  </si>
  <si>
    <t>Emma Cormack</t>
  </si>
  <si>
    <t>MrWeston</t>
  </si>
  <si>
    <t>Bella Walley</t>
  </si>
  <si>
    <t>Sharanya Sudarshan</t>
  </si>
  <si>
    <t>Ella Craig</t>
  </si>
  <si>
    <t>S: Eve Kelly</t>
  </si>
  <si>
    <t>Karl Hjärtsjö</t>
  </si>
  <si>
    <t>Coral Onn</t>
  </si>
  <si>
    <t>Chelsea Stocks</t>
  </si>
  <si>
    <t>Manny Anasson</t>
  </si>
  <si>
    <t>ArChad</t>
  </si>
  <si>
    <t>Lulu Liu</t>
  </si>
  <si>
    <t>Cam Tregaskis</t>
  </si>
  <si>
    <t>Abbey Fishlock</t>
  </si>
  <si>
    <t>Katie Philpot</t>
  </si>
  <si>
    <t>S: Alex Luk</t>
  </si>
  <si>
    <t>Finlay McLean</t>
  </si>
  <si>
    <t>Chandan Kumar</t>
  </si>
  <si>
    <t>Grace Mckinnis</t>
  </si>
  <si>
    <t>Evie Cook</t>
  </si>
  <si>
    <t>Vardy</t>
  </si>
  <si>
    <t>Maya</t>
  </si>
  <si>
    <t>Anna Ferguson</t>
  </si>
  <si>
    <t>N: Nathan Sharp</t>
  </si>
  <si>
    <t xml:space="preserve">Joshua Reynolds </t>
  </si>
  <si>
    <t>Jenitta Juntawongsa</t>
  </si>
  <si>
    <t>Maya Kelly</t>
  </si>
  <si>
    <t>Katie Clark</t>
  </si>
  <si>
    <t>Molly Hyland</t>
  </si>
  <si>
    <t>Lunn</t>
  </si>
  <si>
    <t>Bailey</t>
  </si>
  <si>
    <t>Lucy Schuppan</t>
  </si>
  <si>
    <t xml:space="preserve">Abigail McCarroll </t>
  </si>
  <si>
    <t>Thilo Roehrich</t>
  </si>
  <si>
    <t>Jordan Britz</t>
  </si>
  <si>
    <t>Michael McCann</t>
  </si>
  <si>
    <t>Kiyoshi Andres Takeuchi</t>
  </si>
  <si>
    <t>Poppy Haggstorm</t>
  </si>
  <si>
    <t>Euan Maclean</t>
  </si>
  <si>
    <t>Elsa Ryman</t>
  </si>
  <si>
    <t>Tuckwell</t>
  </si>
  <si>
    <t>Michelle Lin</t>
  </si>
  <si>
    <t>Holly Alder</t>
  </si>
  <si>
    <t>Oli Carvosso</t>
  </si>
  <si>
    <t>Linh (Lily) Nguyen</t>
  </si>
  <si>
    <t>Tom Fullilove</t>
  </si>
  <si>
    <t xml:space="preserve">Maneesha Perera </t>
  </si>
  <si>
    <t xml:space="preserve">Rik Chakraborty </t>
  </si>
  <si>
    <t>Sidney Edwards</t>
  </si>
  <si>
    <t>Zoe Kendall</t>
  </si>
  <si>
    <t>Grace Keane</t>
  </si>
  <si>
    <t>Diego</t>
  </si>
  <si>
    <t>Zhihang Lu</t>
  </si>
  <si>
    <t>Zara McCaughey</t>
  </si>
  <si>
    <t>Rubin Vakulya</t>
  </si>
  <si>
    <t>Summer Sivaraj</t>
  </si>
  <si>
    <t>Trisha Nangia</t>
  </si>
  <si>
    <t>Dylan Hull</t>
  </si>
  <si>
    <t>Archie Goodson</t>
  </si>
  <si>
    <t>Connor Mckay</t>
  </si>
  <si>
    <t>Julia Murphy</t>
  </si>
  <si>
    <t>Isabella Foster</t>
  </si>
  <si>
    <t>Liz Caddy</t>
  </si>
  <si>
    <t>Samuel Schmid</t>
  </si>
  <si>
    <t>Natalie Miller</t>
  </si>
  <si>
    <t>Indi Flores</t>
  </si>
  <si>
    <t>Arland SC</t>
  </si>
  <si>
    <t>Stephanie Lunn</t>
  </si>
  <si>
    <t>Diego Falconer</t>
  </si>
  <si>
    <t>Antonin Bingelli</t>
  </si>
  <si>
    <t>Bailey Stemple</t>
  </si>
  <si>
    <t>Cameron Lunn</t>
  </si>
  <si>
    <t>Thomas Rollo</t>
  </si>
  <si>
    <t>Jassy Vyosimana</t>
  </si>
  <si>
    <t>Digby Greenway</t>
  </si>
  <si>
    <t>Dominique Lee</t>
  </si>
  <si>
    <t>Kai Saalmann</t>
  </si>
  <si>
    <t>Poppy Haggstrom</t>
  </si>
  <si>
    <t>Jeffrey Miao</t>
  </si>
  <si>
    <t>Stephanie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</si>
</sst>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0" fontId="0" fillId="0" borderId="0" xfId="0" applyNumberFormat="1"/>
    <xf numFmtId="20" fontId="1" fillId="0" borderId="0" xfId="0" applyNumberFormat="1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9">
    <dxf>
      <numFmt numFmtId="25" formatCode="h:mm"/>
    </dxf>
    <dxf>
      <numFmt numFmtId="2" formatCode="0.00"/>
    </dxf>
    <dxf>
      <numFmt numFmtId="1" formatCode="0"/>
    </dxf>
    <dxf>
      <numFmt numFmtId="1" formatCode="0"/>
    </dxf>
    <dxf>
      <numFmt numFmtId="25" formatCode="h:mm"/>
    </dxf>
    <dxf>
      <numFmt numFmtId="0" formatCode="General"/>
    </dxf>
    <dxf>
      <numFmt numFmtId="0" formatCode="General"/>
    </dxf>
    <dxf>
      <numFmt numFmtId="25" formatCode="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by H" refreshedDate="46174.546174768519" createdVersion="8" refreshedVersion="8" minRefreshableVersion="3" recordCount="245" xr:uid="{F1386BFF-FB57-4085-924F-6056D032C7AF}">
  <cacheSource type="worksheet">
    <worksheetSource name="Teams"/>
  </cacheSource>
  <cacheFields count="5">
    <cacheField name="college" numFmtId="0">
      <sharedItems count="11">
        <s v="Griffin"/>
        <s v="BNG"/>
        <s v="Ursula"/>
        <s v="Lodge"/>
        <s v="Fenner"/>
        <s v="Bruce"/>
        <s v="Wamburun"/>
        <s v="Burgmann"/>
        <s v="Johns"/>
        <s v="Wright"/>
        <s v="Yukeembruk"/>
      </sharedItems>
    </cacheField>
    <cacheField name="division" numFmtId="0">
      <sharedItems containsSemiMixedTypes="0" containsString="0" containsNumber="1" containsInteger="1" minValue="1" maxValue="7" count="7">
        <n v="1"/>
        <n v="3"/>
        <n v="5"/>
        <n v="4"/>
        <n v="7"/>
        <n v="2"/>
        <n v="6"/>
      </sharedItems>
    </cacheField>
    <cacheField name="year" numFmtId="0">
      <sharedItems containsSemiMixedTypes="0" containsString="0" containsNumber="1" containsInteger="1" minValue="2022" maxValue="2025" count="4">
        <n v="2025"/>
        <n v="2022"/>
        <n v="2023"/>
        <n v="2024"/>
      </sharedItems>
    </cacheField>
    <cacheField name="placing" numFmtId="0">
      <sharedItems containsMixedTypes="1" containsNumber="1" containsInteger="1" minValue="1" maxValue="11" count="13">
        <n v="1"/>
        <n v="2"/>
        <n v="3"/>
        <n v="4"/>
        <n v="5"/>
        <n v="6"/>
        <n v="7"/>
        <n v="8"/>
        <n v="9"/>
        <n v="10"/>
        <n v="11"/>
        <s v="DQ"/>
        <s v="DNF"/>
      </sharedItems>
    </cacheField>
    <cacheField name="time" numFmtId="0">
      <sharedItems containsDate="1" containsMixedTypes="1" minDate="1899-12-30T09:14:00" maxDate="1899-12-30T16:53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x v="0"/>
    <x v="0"/>
    <x v="0"/>
    <x v="0"/>
    <d v="1899-12-30T09:14:00"/>
  </r>
  <r>
    <x v="0"/>
    <x v="1"/>
    <x v="1"/>
    <x v="0"/>
    <d v="1899-12-30T09:33:00"/>
  </r>
  <r>
    <x v="1"/>
    <x v="1"/>
    <x v="1"/>
    <x v="1"/>
    <d v="1899-12-30T09:57:00"/>
  </r>
  <r>
    <x v="2"/>
    <x v="2"/>
    <x v="0"/>
    <x v="0"/>
    <d v="1899-12-30T10:08:00"/>
  </r>
  <r>
    <x v="1"/>
    <x v="3"/>
    <x v="1"/>
    <x v="0"/>
    <d v="1899-12-30T10:17:00"/>
  </r>
  <r>
    <x v="2"/>
    <x v="4"/>
    <x v="0"/>
    <x v="0"/>
    <d v="1899-12-30T10:24:00"/>
  </r>
  <r>
    <x v="3"/>
    <x v="2"/>
    <x v="0"/>
    <x v="1"/>
    <d v="1899-12-30T10:31:00"/>
  </r>
  <r>
    <x v="4"/>
    <x v="4"/>
    <x v="1"/>
    <x v="0"/>
    <d v="1899-12-30T10:36:00"/>
  </r>
  <r>
    <x v="5"/>
    <x v="2"/>
    <x v="1"/>
    <x v="0"/>
    <d v="1899-12-30T10:38:00"/>
  </r>
  <r>
    <x v="5"/>
    <x v="3"/>
    <x v="1"/>
    <x v="1"/>
    <d v="1899-12-30T10:43:00"/>
  </r>
  <r>
    <x v="1"/>
    <x v="2"/>
    <x v="1"/>
    <x v="1"/>
    <d v="1899-12-30T10:44:00"/>
  </r>
  <r>
    <x v="5"/>
    <x v="2"/>
    <x v="0"/>
    <x v="2"/>
    <d v="1899-12-30T10:44:00"/>
  </r>
  <r>
    <x v="6"/>
    <x v="3"/>
    <x v="1"/>
    <x v="2"/>
    <d v="1899-12-30T10:45:00"/>
  </r>
  <r>
    <x v="0"/>
    <x v="0"/>
    <x v="1"/>
    <x v="0"/>
    <d v="1899-12-30T10:48:00"/>
  </r>
  <r>
    <x v="7"/>
    <x v="4"/>
    <x v="1"/>
    <x v="1"/>
    <d v="1899-12-30T10:55:00"/>
  </r>
  <r>
    <x v="5"/>
    <x v="4"/>
    <x v="1"/>
    <x v="2"/>
    <d v="1899-12-30T10:59:00"/>
  </r>
  <r>
    <x v="8"/>
    <x v="4"/>
    <x v="1"/>
    <x v="3"/>
    <d v="1899-12-30T11:02:00"/>
  </r>
  <r>
    <x v="1"/>
    <x v="4"/>
    <x v="1"/>
    <x v="4"/>
    <d v="1899-12-30T11:08:00"/>
  </r>
  <r>
    <x v="5"/>
    <x v="5"/>
    <x v="2"/>
    <x v="0"/>
    <d v="1899-12-30T11:17:00"/>
  </r>
  <r>
    <x v="0"/>
    <x v="2"/>
    <x v="0"/>
    <x v="3"/>
    <d v="1899-12-30T11:18:00"/>
  </r>
  <r>
    <x v="2"/>
    <x v="4"/>
    <x v="1"/>
    <x v="5"/>
    <d v="1899-12-30T11:24:00"/>
  </r>
  <r>
    <x v="4"/>
    <x v="2"/>
    <x v="0"/>
    <x v="4"/>
    <d v="1899-12-30T11:29:00"/>
  </r>
  <r>
    <x v="2"/>
    <x v="1"/>
    <x v="1"/>
    <x v="2"/>
    <d v="1899-12-30T11:37:00"/>
  </r>
  <r>
    <x v="7"/>
    <x v="4"/>
    <x v="0"/>
    <x v="1"/>
    <d v="1899-12-30T11:37:00"/>
  </r>
  <r>
    <x v="1"/>
    <x v="0"/>
    <x v="1"/>
    <x v="1"/>
    <d v="1899-12-30T11:37:00"/>
  </r>
  <r>
    <x v="5"/>
    <x v="5"/>
    <x v="3"/>
    <x v="0"/>
    <d v="1899-12-30T11:43:00"/>
  </r>
  <r>
    <x v="7"/>
    <x v="6"/>
    <x v="0"/>
    <x v="0"/>
    <d v="1899-12-30T11:44:00"/>
  </r>
  <r>
    <x v="5"/>
    <x v="5"/>
    <x v="1"/>
    <x v="0"/>
    <d v="1899-12-30T11:44:00"/>
  </r>
  <r>
    <x v="5"/>
    <x v="6"/>
    <x v="1"/>
    <x v="0"/>
    <d v="1899-12-30T11:45:00"/>
  </r>
  <r>
    <x v="8"/>
    <x v="6"/>
    <x v="1"/>
    <x v="1"/>
    <d v="1899-12-30T11:46:00"/>
  </r>
  <r>
    <x v="1"/>
    <x v="5"/>
    <x v="2"/>
    <x v="1"/>
    <d v="1899-12-30T11:50:00"/>
  </r>
  <r>
    <x v="9"/>
    <x v="4"/>
    <x v="1"/>
    <x v="6"/>
    <d v="1899-12-30T11:53:00"/>
  </r>
  <r>
    <x v="2"/>
    <x v="6"/>
    <x v="1"/>
    <x v="2"/>
    <d v="1899-12-30T11:54:00"/>
  </r>
  <r>
    <x v="1"/>
    <x v="2"/>
    <x v="0"/>
    <x v="5"/>
    <d v="1899-12-30T11:55:00"/>
  </r>
  <r>
    <x v="0"/>
    <x v="0"/>
    <x v="3"/>
    <x v="0"/>
    <d v="1899-12-30T11:55:00"/>
  </r>
  <r>
    <x v="6"/>
    <x v="4"/>
    <x v="1"/>
    <x v="7"/>
    <d v="1899-12-30T11:57:00"/>
  </r>
  <r>
    <x v="1"/>
    <x v="6"/>
    <x v="1"/>
    <x v="3"/>
    <d v="1899-12-30T12:01:00"/>
  </r>
  <r>
    <x v="9"/>
    <x v="4"/>
    <x v="0"/>
    <x v="2"/>
    <d v="1899-12-30T12:03:00"/>
  </r>
  <r>
    <x v="4"/>
    <x v="1"/>
    <x v="0"/>
    <x v="0"/>
    <d v="1899-12-30T12:04:00"/>
  </r>
  <r>
    <x v="0"/>
    <x v="5"/>
    <x v="0"/>
    <x v="0"/>
    <d v="1899-12-30T12:06:00"/>
  </r>
  <r>
    <x v="8"/>
    <x v="4"/>
    <x v="0"/>
    <x v="3"/>
    <d v="1899-12-30T12:08:00"/>
  </r>
  <r>
    <x v="1"/>
    <x v="4"/>
    <x v="2"/>
    <x v="0"/>
    <d v="1899-12-30T12:11:00"/>
  </r>
  <r>
    <x v="5"/>
    <x v="6"/>
    <x v="0"/>
    <x v="1"/>
    <d v="1899-12-30T12:16:00"/>
  </r>
  <r>
    <x v="8"/>
    <x v="1"/>
    <x v="1"/>
    <x v="3"/>
    <d v="1899-12-30T12:17:00"/>
  </r>
  <r>
    <x v="1"/>
    <x v="4"/>
    <x v="0"/>
    <x v="4"/>
    <d v="1899-12-30T12:20:00"/>
  </r>
  <r>
    <x v="1"/>
    <x v="3"/>
    <x v="0"/>
    <x v="0"/>
    <d v="1899-12-30T12:21:00"/>
  </r>
  <r>
    <x v="6"/>
    <x v="4"/>
    <x v="0"/>
    <x v="5"/>
    <d v="1899-12-30T12:23:00"/>
  </r>
  <r>
    <x v="2"/>
    <x v="6"/>
    <x v="0"/>
    <x v="2"/>
    <d v="1899-12-30T12:23:00"/>
  </r>
  <r>
    <x v="10"/>
    <x v="4"/>
    <x v="2"/>
    <x v="1"/>
    <d v="1899-12-30T12:23:00"/>
  </r>
  <r>
    <x v="0"/>
    <x v="5"/>
    <x v="3"/>
    <x v="1"/>
    <d v="1899-12-30T12:23:00"/>
  </r>
  <r>
    <x v="0"/>
    <x v="4"/>
    <x v="0"/>
    <x v="6"/>
    <d v="1899-12-30T12:28:00"/>
  </r>
  <r>
    <x v="8"/>
    <x v="2"/>
    <x v="1"/>
    <x v="2"/>
    <d v="1899-12-30T12:28:00"/>
  </r>
  <r>
    <x v="5"/>
    <x v="1"/>
    <x v="0"/>
    <x v="1"/>
    <d v="1899-12-30T12:30:00"/>
  </r>
  <r>
    <x v="1"/>
    <x v="0"/>
    <x v="2"/>
    <x v="0"/>
    <d v="1899-12-30T12:37:00"/>
  </r>
  <r>
    <x v="7"/>
    <x v="2"/>
    <x v="0"/>
    <x v="6"/>
    <d v="1899-12-30T12:38:00"/>
  </r>
  <r>
    <x v="1"/>
    <x v="0"/>
    <x v="3"/>
    <x v="1"/>
    <d v="1899-12-30T12:38:00"/>
  </r>
  <r>
    <x v="0"/>
    <x v="1"/>
    <x v="0"/>
    <x v="2"/>
    <d v="1899-12-30T12:39:00"/>
  </r>
  <r>
    <x v="5"/>
    <x v="1"/>
    <x v="2"/>
    <x v="0"/>
    <d v="1899-12-30T12:40:00"/>
  </r>
  <r>
    <x v="4"/>
    <x v="3"/>
    <x v="2"/>
    <x v="0"/>
    <d v="1899-12-30T12:40:00"/>
  </r>
  <r>
    <x v="9"/>
    <x v="6"/>
    <x v="1"/>
    <x v="4"/>
    <d v="1899-12-30T12:41:00"/>
  </r>
  <r>
    <x v="9"/>
    <x v="2"/>
    <x v="1"/>
    <x v="3"/>
    <d v="1899-12-30T12:41:00"/>
  </r>
  <r>
    <x v="4"/>
    <x v="5"/>
    <x v="3"/>
    <x v="2"/>
    <d v="1899-12-30T12:42:00"/>
  </r>
  <r>
    <x v="2"/>
    <x v="2"/>
    <x v="1"/>
    <x v="4"/>
    <d v="1899-12-30T12:48:00"/>
  </r>
  <r>
    <x v="1"/>
    <x v="0"/>
    <x v="0"/>
    <x v="1"/>
    <d v="1899-12-30T12:48:00"/>
  </r>
  <r>
    <x v="7"/>
    <x v="1"/>
    <x v="0"/>
    <x v="3"/>
    <d v="1899-12-30T12:51:00"/>
  </r>
  <r>
    <x v="7"/>
    <x v="5"/>
    <x v="0"/>
    <x v="1"/>
    <d v="1899-12-30T12:51:00"/>
  </r>
  <r>
    <x v="5"/>
    <x v="2"/>
    <x v="3"/>
    <x v="0"/>
    <d v="1899-12-30T12:56:00"/>
  </r>
  <r>
    <x v="6"/>
    <x v="3"/>
    <x v="2"/>
    <x v="1"/>
    <d v="1899-12-30T12:59:00"/>
  </r>
  <r>
    <x v="7"/>
    <x v="5"/>
    <x v="3"/>
    <x v="3"/>
    <d v="1899-12-30T13:04:00"/>
  </r>
  <r>
    <x v="9"/>
    <x v="2"/>
    <x v="0"/>
    <x v="7"/>
    <d v="1899-12-30T13:07:00"/>
  </r>
  <r>
    <x v="3"/>
    <x v="0"/>
    <x v="0"/>
    <x v="2"/>
    <d v="1899-12-30T13:07:00"/>
  </r>
  <r>
    <x v="8"/>
    <x v="6"/>
    <x v="0"/>
    <x v="3"/>
    <d v="1899-12-30T13:10:00"/>
  </r>
  <r>
    <x v="5"/>
    <x v="0"/>
    <x v="1"/>
    <x v="2"/>
    <d v="1899-12-30T13:13:00"/>
  </r>
  <r>
    <x v="3"/>
    <x v="0"/>
    <x v="3"/>
    <x v="2"/>
    <d v="1899-12-30T13:14:00"/>
  </r>
  <r>
    <x v="5"/>
    <x v="6"/>
    <x v="2"/>
    <x v="0"/>
    <d v="1899-12-30T13:15:00"/>
  </r>
  <r>
    <x v="4"/>
    <x v="4"/>
    <x v="0"/>
    <x v="7"/>
    <d v="1899-12-30T13:16:00"/>
  </r>
  <r>
    <x v="5"/>
    <x v="0"/>
    <x v="3"/>
    <x v="3"/>
    <d v="1899-12-30T13:16:00"/>
  </r>
  <r>
    <x v="4"/>
    <x v="4"/>
    <x v="2"/>
    <x v="2"/>
    <d v="1899-12-30T13:17:00"/>
  </r>
  <r>
    <x v="8"/>
    <x v="2"/>
    <x v="2"/>
    <x v="0"/>
    <d v="1899-12-30T13:21:00"/>
  </r>
  <r>
    <x v="0"/>
    <x v="3"/>
    <x v="1"/>
    <x v="3"/>
    <d v="1899-12-30T13:22:00"/>
  </r>
  <r>
    <x v="6"/>
    <x v="6"/>
    <x v="2"/>
    <x v="1"/>
    <d v="1899-12-30T13:23:00"/>
  </r>
  <r>
    <x v="9"/>
    <x v="1"/>
    <x v="3"/>
    <x v="0"/>
    <d v="1899-12-30T13:24:00"/>
  </r>
  <r>
    <x v="3"/>
    <x v="4"/>
    <x v="2"/>
    <x v="3"/>
    <d v="1899-12-30T13:26:00"/>
  </r>
  <r>
    <x v="1"/>
    <x v="6"/>
    <x v="2"/>
    <x v="2"/>
    <d v="1899-12-30T13:29:00"/>
  </r>
  <r>
    <x v="9"/>
    <x v="6"/>
    <x v="0"/>
    <x v="4"/>
    <d v="1899-12-30T13:30:00"/>
  </r>
  <r>
    <x v="9"/>
    <x v="5"/>
    <x v="0"/>
    <x v="2"/>
    <d v="1899-12-30T13:30:00"/>
  </r>
  <r>
    <x v="1"/>
    <x v="2"/>
    <x v="2"/>
    <x v="1"/>
    <d v="1899-12-30T13:30:00"/>
  </r>
  <r>
    <x v="1"/>
    <x v="4"/>
    <x v="3"/>
    <x v="0"/>
    <d v="1899-12-30T13:34:00"/>
  </r>
  <r>
    <x v="4"/>
    <x v="4"/>
    <x v="3"/>
    <x v="1"/>
    <d v="1899-12-30T13:37:00"/>
  </r>
  <r>
    <x v="0"/>
    <x v="4"/>
    <x v="1"/>
    <x v="8"/>
    <d v="1899-12-30T13:38:00"/>
  </r>
  <r>
    <x v="4"/>
    <x v="6"/>
    <x v="0"/>
    <x v="5"/>
    <d v="1899-12-30T13:40:00"/>
  </r>
  <r>
    <x v="2"/>
    <x v="3"/>
    <x v="2"/>
    <x v="2"/>
    <d v="1899-12-30T13:40:00"/>
  </r>
  <r>
    <x v="8"/>
    <x v="0"/>
    <x v="0"/>
    <x v="3"/>
    <d v="1899-12-30T13:41:00"/>
  </r>
  <r>
    <x v="8"/>
    <x v="5"/>
    <x v="0"/>
    <x v="3"/>
    <d v="1899-12-30T13:41:00"/>
  </r>
  <r>
    <x v="8"/>
    <x v="1"/>
    <x v="0"/>
    <x v="4"/>
    <d v="1899-12-30T13:42:00"/>
  </r>
  <r>
    <x v="0"/>
    <x v="3"/>
    <x v="0"/>
    <x v="1"/>
    <d v="1899-12-30T13:44:00"/>
  </r>
  <r>
    <x v="3"/>
    <x v="2"/>
    <x v="3"/>
    <x v="1"/>
    <d v="1899-12-30T13:46:00"/>
  </r>
  <r>
    <x v="8"/>
    <x v="2"/>
    <x v="0"/>
    <x v="8"/>
    <d v="1899-12-30T13:49:00"/>
  </r>
  <r>
    <x v="0"/>
    <x v="3"/>
    <x v="2"/>
    <x v="3"/>
    <d v="1899-12-30T13:51:00"/>
  </r>
  <r>
    <x v="5"/>
    <x v="4"/>
    <x v="2"/>
    <x v="4"/>
    <d v="1899-12-30T13:52:00"/>
  </r>
  <r>
    <x v="2"/>
    <x v="5"/>
    <x v="3"/>
    <x v="4"/>
    <d v="1899-12-30T13:54:00"/>
  </r>
  <r>
    <x v="10"/>
    <x v="1"/>
    <x v="3"/>
    <x v="1"/>
    <d v="1899-12-30T14:01:00"/>
  </r>
  <r>
    <x v="8"/>
    <x v="5"/>
    <x v="2"/>
    <x v="2"/>
    <d v="1899-12-30T14:06:00"/>
  </r>
  <r>
    <x v="6"/>
    <x v="4"/>
    <x v="2"/>
    <x v="5"/>
    <d v="1899-12-30T14:07:00"/>
  </r>
  <r>
    <x v="1"/>
    <x v="5"/>
    <x v="0"/>
    <x v="4"/>
    <d v="1899-12-30T14:10:00"/>
  </r>
  <r>
    <x v="0"/>
    <x v="4"/>
    <x v="2"/>
    <x v="6"/>
    <d v="1899-12-30T14:11:00"/>
  </r>
  <r>
    <x v="4"/>
    <x v="3"/>
    <x v="0"/>
    <x v="2"/>
    <d v="1899-12-30T14:13:00"/>
  </r>
  <r>
    <x v="8"/>
    <x v="5"/>
    <x v="3"/>
    <x v="5"/>
    <d v="1899-12-30T14:14:00"/>
  </r>
  <r>
    <x v="2"/>
    <x v="1"/>
    <x v="2"/>
    <x v="1"/>
    <d v="1899-12-30T14:15:00"/>
  </r>
  <r>
    <x v="9"/>
    <x v="1"/>
    <x v="2"/>
    <x v="1"/>
    <d v="1899-12-30T14:15:00"/>
  </r>
  <r>
    <x v="4"/>
    <x v="2"/>
    <x v="3"/>
    <x v="2"/>
    <d v="1899-12-30T14:16:00"/>
  </r>
  <r>
    <x v="1"/>
    <x v="5"/>
    <x v="3"/>
    <x v="6"/>
    <d v="1899-12-30T14:18:00"/>
  </r>
  <r>
    <x v="0"/>
    <x v="6"/>
    <x v="0"/>
    <x v="6"/>
    <d v="1899-12-30T14:19:00"/>
  </r>
  <r>
    <x v="10"/>
    <x v="3"/>
    <x v="0"/>
    <x v="3"/>
    <d v="1899-12-30T14:19:00"/>
  </r>
  <r>
    <x v="4"/>
    <x v="5"/>
    <x v="2"/>
    <x v="4"/>
    <d v="1899-12-30T14:20:00"/>
  </r>
  <r>
    <x v="3"/>
    <x v="5"/>
    <x v="2"/>
    <x v="3"/>
    <d v="1899-12-30T14:20:00"/>
  </r>
  <r>
    <x v="0"/>
    <x v="6"/>
    <x v="3"/>
    <x v="0"/>
    <d v="1899-12-30T14:20:00"/>
  </r>
  <r>
    <x v="4"/>
    <x v="0"/>
    <x v="0"/>
    <x v="4"/>
    <d v="1899-12-30T14:22:00"/>
  </r>
  <r>
    <x v="7"/>
    <x v="4"/>
    <x v="2"/>
    <x v="7"/>
    <d v="1899-12-30T14:24:00"/>
  </r>
  <r>
    <x v="5"/>
    <x v="3"/>
    <x v="3"/>
    <x v="0"/>
    <d v="1899-12-30T14:29:00"/>
  </r>
  <r>
    <x v="4"/>
    <x v="0"/>
    <x v="1"/>
    <x v="3"/>
    <d v="1899-12-30T14:35:00"/>
  </r>
  <r>
    <x v="10"/>
    <x v="1"/>
    <x v="0"/>
    <x v="5"/>
    <d v="1899-12-30T14:38:00"/>
  </r>
  <r>
    <x v="4"/>
    <x v="6"/>
    <x v="3"/>
    <x v="1"/>
    <d v="1899-12-30T14:40:00"/>
  </r>
  <r>
    <x v="3"/>
    <x v="4"/>
    <x v="0"/>
    <x v="8"/>
    <d v="1899-12-30T14:41:00"/>
  </r>
  <r>
    <x v="10"/>
    <x v="4"/>
    <x v="0"/>
    <x v="9"/>
    <d v="1899-12-30T14:42:00"/>
  </r>
  <r>
    <x v="7"/>
    <x v="2"/>
    <x v="3"/>
    <x v="3"/>
    <d v="1899-12-30T14:42:00"/>
  </r>
  <r>
    <x v="1"/>
    <x v="6"/>
    <x v="3"/>
    <x v="2"/>
    <d v="1899-12-30T14:42:00"/>
  </r>
  <r>
    <x v="8"/>
    <x v="4"/>
    <x v="2"/>
    <x v="8"/>
    <d v="1899-12-30T14:45:00"/>
  </r>
  <r>
    <x v="5"/>
    <x v="1"/>
    <x v="1"/>
    <x v="4"/>
    <d v="1899-12-30T14:49:00"/>
  </r>
  <r>
    <x v="2"/>
    <x v="2"/>
    <x v="3"/>
    <x v="4"/>
    <d v="1899-12-30T14:50:00"/>
  </r>
  <r>
    <x v="10"/>
    <x v="2"/>
    <x v="2"/>
    <x v="2"/>
    <d v="1899-12-30T14:50:00"/>
  </r>
  <r>
    <x v="6"/>
    <x v="2"/>
    <x v="2"/>
    <x v="3"/>
    <d v="1899-12-30T14:54:00"/>
  </r>
  <r>
    <x v="0"/>
    <x v="2"/>
    <x v="1"/>
    <x v="5"/>
    <d v="1899-12-30T14:55:00"/>
  </r>
  <r>
    <x v="2"/>
    <x v="0"/>
    <x v="3"/>
    <x v="4"/>
    <d v="1899-12-30T15:02:00"/>
  </r>
  <r>
    <x v="1"/>
    <x v="2"/>
    <x v="3"/>
    <x v="5"/>
    <d v="1899-12-30T15:07:00"/>
  </r>
  <r>
    <x v="9"/>
    <x v="2"/>
    <x v="3"/>
    <x v="6"/>
    <d v="1899-12-30T15:10:00"/>
  </r>
  <r>
    <x v="1"/>
    <x v="1"/>
    <x v="0"/>
    <x v="6"/>
    <d v="1899-12-30T15:12:00"/>
  </r>
  <r>
    <x v="5"/>
    <x v="4"/>
    <x v="0"/>
    <x v="10"/>
    <d v="1899-12-30T15:14:00"/>
  </r>
  <r>
    <x v="7"/>
    <x v="6"/>
    <x v="3"/>
    <x v="3"/>
    <d v="1899-12-30T15:14:00"/>
  </r>
  <r>
    <x v="7"/>
    <x v="2"/>
    <x v="1"/>
    <x v="6"/>
    <d v="1899-12-30T15:15:00"/>
  </r>
  <r>
    <x v="6"/>
    <x v="0"/>
    <x v="0"/>
    <x v="5"/>
    <d v="1899-12-30T15:15:00"/>
  </r>
  <r>
    <x v="6"/>
    <x v="2"/>
    <x v="0"/>
    <x v="9"/>
    <d v="1899-12-30T15:17:00"/>
  </r>
  <r>
    <x v="1"/>
    <x v="3"/>
    <x v="2"/>
    <x v="4"/>
    <d v="1899-12-30T15:17:00"/>
  </r>
  <r>
    <x v="7"/>
    <x v="3"/>
    <x v="0"/>
    <x v="4"/>
    <d v="1899-12-30T15:17:00"/>
  </r>
  <r>
    <x v="6"/>
    <x v="3"/>
    <x v="3"/>
    <x v="1"/>
    <d v="1899-12-30T15:18:00"/>
  </r>
  <r>
    <x v="6"/>
    <x v="2"/>
    <x v="1"/>
    <x v="7"/>
    <d v="1899-12-30T15:19:00"/>
  </r>
  <r>
    <x v="5"/>
    <x v="3"/>
    <x v="2"/>
    <x v="5"/>
    <d v="1899-12-30T15:20:00"/>
  </r>
  <r>
    <x v="9"/>
    <x v="1"/>
    <x v="0"/>
    <x v="7"/>
    <d v="1899-12-30T15:22:00"/>
  </r>
  <r>
    <x v="0"/>
    <x v="6"/>
    <x v="1"/>
    <x v="5"/>
    <d v="1899-12-30T15:23:00"/>
  </r>
  <r>
    <x v="7"/>
    <x v="4"/>
    <x v="3"/>
    <x v="2"/>
    <d v="1899-12-30T15:24:00"/>
  </r>
  <r>
    <x v="3"/>
    <x v="6"/>
    <x v="1"/>
    <x v="6"/>
    <d v="1899-12-30T15:26:00"/>
  </r>
  <r>
    <x v="8"/>
    <x v="3"/>
    <x v="0"/>
    <x v="5"/>
    <d v="1899-12-30T15:26:00"/>
  </r>
  <r>
    <x v="5"/>
    <x v="6"/>
    <x v="3"/>
    <x v="4"/>
    <d v="1899-12-30T15:28:00"/>
  </r>
  <r>
    <x v="8"/>
    <x v="2"/>
    <x v="3"/>
    <x v="7"/>
    <d v="1899-12-30T15:29:00"/>
  </r>
  <r>
    <x v="4"/>
    <x v="3"/>
    <x v="3"/>
    <x v="2"/>
    <d v="1899-12-30T15:32:00"/>
  </r>
  <r>
    <x v="10"/>
    <x v="2"/>
    <x v="0"/>
    <x v="10"/>
    <d v="1899-12-30T15:36:00"/>
  </r>
  <r>
    <x v="4"/>
    <x v="1"/>
    <x v="2"/>
    <x v="3"/>
    <d v="1899-12-30T15:39:00"/>
  </r>
  <r>
    <x v="9"/>
    <x v="2"/>
    <x v="2"/>
    <x v="4"/>
    <d v="1899-12-30T15:40:00"/>
  </r>
  <r>
    <x v="7"/>
    <x v="3"/>
    <x v="3"/>
    <x v="3"/>
    <d v="1899-12-30T15:40:00"/>
  </r>
  <r>
    <x v="6"/>
    <x v="3"/>
    <x v="0"/>
    <x v="6"/>
    <d v="1899-12-30T15:41:00"/>
  </r>
  <r>
    <x v="9"/>
    <x v="0"/>
    <x v="2"/>
    <x v="1"/>
    <d v="1899-12-30T15:42:00"/>
  </r>
  <r>
    <x v="4"/>
    <x v="5"/>
    <x v="0"/>
    <x v="5"/>
    <d v="1899-12-30T15:44:00"/>
  </r>
  <r>
    <x v="7"/>
    <x v="0"/>
    <x v="0"/>
    <x v="6"/>
    <d v="1899-12-30T15:45:00"/>
  </r>
  <r>
    <x v="5"/>
    <x v="0"/>
    <x v="0"/>
    <x v="6"/>
    <d v="1899-12-30T15:45:00"/>
  </r>
  <r>
    <x v="8"/>
    <x v="3"/>
    <x v="3"/>
    <x v="4"/>
    <d v="1899-12-30T15:48:00"/>
  </r>
  <r>
    <x v="2"/>
    <x v="6"/>
    <x v="2"/>
    <x v="3"/>
    <d v="1899-12-30T15:48:00"/>
  </r>
  <r>
    <x v="10"/>
    <x v="6"/>
    <x v="2"/>
    <x v="3"/>
    <d v="1899-12-30T15:48:00"/>
  </r>
  <r>
    <x v="6"/>
    <x v="2"/>
    <x v="3"/>
    <x v="8"/>
    <d v="1899-12-30T15:49:00"/>
  </r>
  <r>
    <x v="3"/>
    <x v="1"/>
    <x v="3"/>
    <x v="2"/>
    <d v="1899-12-30T15:52:00"/>
  </r>
  <r>
    <x v="8"/>
    <x v="3"/>
    <x v="2"/>
    <x v="6"/>
    <d v="1899-12-30T15:54:00"/>
  </r>
  <r>
    <x v="7"/>
    <x v="6"/>
    <x v="1"/>
    <x v="7"/>
    <d v="1899-12-30T15:55:00"/>
  </r>
  <r>
    <x v="0"/>
    <x v="4"/>
    <x v="3"/>
    <x v="3"/>
    <d v="1899-12-30T15:59:00"/>
  </r>
  <r>
    <x v="4"/>
    <x v="2"/>
    <x v="2"/>
    <x v="5"/>
    <d v="1899-12-30T16:00:00"/>
  </r>
  <r>
    <x v="3"/>
    <x v="6"/>
    <x v="2"/>
    <x v="5"/>
    <d v="1899-12-30T16:03:00"/>
  </r>
  <r>
    <x v="1"/>
    <x v="5"/>
    <x v="1"/>
    <x v="1"/>
    <d v="1899-12-30T16:06:00"/>
  </r>
  <r>
    <x v="6"/>
    <x v="6"/>
    <x v="0"/>
    <x v="7"/>
    <d v="1899-12-30T16:07:00"/>
  </r>
  <r>
    <x v="10"/>
    <x v="6"/>
    <x v="0"/>
    <x v="7"/>
    <d v="1899-12-30T16:07:00"/>
  </r>
  <r>
    <x v="8"/>
    <x v="6"/>
    <x v="2"/>
    <x v="6"/>
    <d v="1899-12-30T16:07:00"/>
  </r>
  <r>
    <x v="0"/>
    <x v="6"/>
    <x v="2"/>
    <x v="7"/>
    <d v="1899-12-30T16:08:00"/>
  </r>
  <r>
    <x v="2"/>
    <x v="3"/>
    <x v="3"/>
    <x v="5"/>
    <d v="1899-12-30T16:09:00"/>
  </r>
  <r>
    <x v="9"/>
    <x v="4"/>
    <x v="2"/>
    <x v="9"/>
    <d v="1899-12-30T16:11:00"/>
  </r>
  <r>
    <x v="5"/>
    <x v="0"/>
    <x v="2"/>
    <x v="2"/>
    <d v="1899-12-30T16:15:00"/>
  </r>
  <r>
    <x v="5"/>
    <x v="2"/>
    <x v="2"/>
    <x v="6"/>
    <d v="1899-12-30T16:16:00"/>
  </r>
  <r>
    <x v="3"/>
    <x v="2"/>
    <x v="2"/>
    <x v="7"/>
    <d v="1899-12-30T16:20:00"/>
  </r>
  <r>
    <x v="4"/>
    <x v="6"/>
    <x v="2"/>
    <x v="8"/>
    <d v="1899-12-30T16:22:00"/>
  </r>
  <r>
    <x v="8"/>
    <x v="0"/>
    <x v="3"/>
    <x v="5"/>
    <d v="1899-12-30T16:25:00"/>
  </r>
  <r>
    <x v="4"/>
    <x v="1"/>
    <x v="3"/>
    <x v="3"/>
    <d v="1899-12-30T16:25:00"/>
  </r>
  <r>
    <x v="9"/>
    <x v="0"/>
    <x v="0"/>
    <x v="8"/>
    <d v="1899-12-30T16:29:00"/>
  </r>
  <r>
    <x v="9"/>
    <x v="3"/>
    <x v="0"/>
    <x v="7"/>
    <d v="1899-12-30T16:30:00"/>
  </r>
  <r>
    <x v="6"/>
    <x v="0"/>
    <x v="3"/>
    <x v="6"/>
    <d v="1899-12-30T16:35:00"/>
  </r>
  <r>
    <x v="1"/>
    <x v="3"/>
    <x v="3"/>
    <x v="6"/>
    <d v="1899-12-30T16:35:00"/>
  </r>
  <r>
    <x v="7"/>
    <x v="0"/>
    <x v="3"/>
    <x v="7"/>
    <d v="1899-12-30T16:39:00"/>
  </r>
  <r>
    <x v="2"/>
    <x v="4"/>
    <x v="3"/>
    <x v="4"/>
    <d v="1899-12-30T16:39:00"/>
  </r>
  <r>
    <x v="8"/>
    <x v="4"/>
    <x v="3"/>
    <x v="5"/>
    <d v="1899-12-30T16:42:00"/>
  </r>
  <r>
    <x v="3"/>
    <x v="4"/>
    <x v="3"/>
    <x v="5"/>
    <d v="1899-12-30T16:42:00"/>
  </r>
  <r>
    <x v="8"/>
    <x v="1"/>
    <x v="3"/>
    <x v="4"/>
    <d v="1899-12-30T16:50:00"/>
  </r>
  <r>
    <x v="5"/>
    <x v="4"/>
    <x v="3"/>
    <x v="7"/>
    <d v="1899-12-30T16:53:00"/>
  </r>
  <r>
    <x v="2"/>
    <x v="3"/>
    <x v="1"/>
    <x v="11"/>
    <s v="NA"/>
  </r>
  <r>
    <x v="1"/>
    <x v="1"/>
    <x v="3"/>
    <x v="11"/>
    <s v="NA"/>
  </r>
  <r>
    <x v="8"/>
    <x v="0"/>
    <x v="1"/>
    <x v="12"/>
    <s v="NA"/>
  </r>
  <r>
    <x v="4"/>
    <x v="5"/>
    <x v="1"/>
    <x v="12"/>
    <s v="NA"/>
  </r>
  <r>
    <x v="4"/>
    <x v="1"/>
    <x v="1"/>
    <x v="12"/>
    <s v="NA"/>
  </r>
  <r>
    <x v="3"/>
    <x v="3"/>
    <x v="1"/>
    <x v="12"/>
    <s v="NA"/>
  </r>
  <r>
    <x v="7"/>
    <x v="0"/>
    <x v="2"/>
    <x v="12"/>
    <s v="NA"/>
  </r>
  <r>
    <x v="0"/>
    <x v="0"/>
    <x v="2"/>
    <x v="12"/>
    <s v="NA"/>
  </r>
  <r>
    <x v="8"/>
    <x v="0"/>
    <x v="2"/>
    <x v="12"/>
    <s v="NA"/>
  </r>
  <r>
    <x v="2"/>
    <x v="0"/>
    <x v="2"/>
    <x v="12"/>
    <s v="NA"/>
  </r>
  <r>
    <x v="7"/>
    <x v="5"/>
    <x v="2"/>
    <x v="12"/>
    <s v="NA"/>
  </r>
  <r>
    <x v="0"/>
    <x v="5"/>
    <x v="2"/>
    <x v="12"/>
    <s v="NA"/>
  </r>
  <r>
    <x v="9"/>
    <x v="5"/>
    <x v="2"/>
    <x v="12"/>
    <s v="NA"/>
  </r>
  <r>
    <x v="1"/>
    <x v="1"/>
    <x v="2"/>
    <x v="12"/>
    <s v="NA"/>
  </r>
  <r>
    <x v="7"/>
    <x v="1"/>
    <x v="2"/>
    <x v="12"/>
    <s v="NA"/>
  </r>
  <r>
    <x v="8"/>
    <x v="1"/>
    <x v="2"/>
    <x v="12"/>
    <s v="NA"/>
  </r>
  <r>
    <x v="7"/>
    <x v="3"/>
    <x v="2"/>
    <x v="12"/>
    <s v="NA"/>
  </r>
  <r>
    <x v="9"/>
    <x v="3"/>
    <x v="2"/>
    <x v="12"/>
    <s v="NA"/>
  </r>
  <r>
    <x v="7"/>
    <x v="2"/>
    <x v="2"/>
    <x v="12"/>
    <s v="NA"/>
  </r>
  <r>
    <x v="0"/>
    <x v="2"/>
    <x v="2"/>
    <x v="12"/>
    <s v="NA"/>
  </r>
  <r>
    <x v="2"/>
    <x v="2"/>
    <x v="2"/>
    <x v="12"/>
    <s v="NA"/>
  </r>
  <r>
    <x v="7"/>
    <x v="6"/>
    <x v="2"/>
    <x v="12"/>
    <s v="NA"/>
  </r>
  <r>
    <x v="9"/>
    <x v="6"/>
    <x v="2"/>
    <x v="12"/>
    <s v="NA"/>
  </r>
  <r>
    <x v="2"/>
    <x v="4"/>
    <x v="2"/>
    <x v="12"/>
    <s v="NA"/>
  </r>
  <r>
    <x v="4"/>
    <x v="0"/>
    <x v="3"/>
    <x v="12"/>
    <s v="NA"/>
  </r>
  <r>
    <x v="2"/>
    <x v="1"/>
    <x v="3"/>
    <x v="12"/>
    <s v="NA"/>
  </r>
  <r>
    <x v="5"/>
    <x v="1"/>
    <x v="3"/>
    <x v="12"/>
    <s v="NA"/>
  </r>
  <r>
    <x v="6"/>
    <x v="1"/>
    <x v="3"/>
    <x v="12"/>
    <s v="NA"/>
  </r>
  <r>
    <x v="9"/>
    <x v="3"/>
    <x v="3"/>
    <x v="12"/>
    <s v="NA"/>
  </r>
  <r>
    <x v="10"/>
    <x v="3"/>
    <x v="3"/>
    <x v="12"/>
    <s v="NA"/>
  </r>
  <r>
    <x v="10"/>
    <x v="2"/>
    <x v="3"/>
    <x v="12"/>
    <s v="NA"/>
  </r>
  <r>
    <x v="6"/>
    <x v="6"/>
    <x v="3"/>
    <x v="12"/>
    <s v="NA"/>
  </r>
  <r>
    <x v="8"/>
    <x v="6"/>
    <x v="3"/>
    <x v="12"/>
    <s v="NA"/>
  </r>
  <r>
    <x v="2"/>
    <x v="6"/>
    <x v="3"/>
    <x v="12"/>
    <s v="NA"/>
  </r>
  <r>
    <x v="10"/>
    <x v="6"/>
    <x v="3"/>
    <x v="12"/>
    <s v="NA"/>
  </r>
  <r>
    <x v="9"/>
    <x v="6"/>
    <x v="3"/>
    <x v="12"/>
    <s v="NA"/>
  </r>
  <r>
    <x v="3"/>
    <x v="6"/>
    <x v="3"/>
    <x v="12"/>
    <s v="NA"/>
  </r>
  <r>
    <x v="6"/>
    <x v="4"/>
    <x v="3"/>
    <x v="12"/>
    <s v="NA"/>
  </r>
  <r>
    <x v="9"/>
    <x v="4"/>
    <x v="3"/>
    <x v="12"/>
    <s v="NA"/>
  </r>
  <r>
    <x v="10"/>
    <x v="4"/>
    <x v="3"/>
    <x v="12"/>
    <s v="NA"/>
  </r>
  <r>
    <x v="2"/>
    <x v="0"/>
    <x v="0"/>
    <x v="12"/>
    <s v="NA"/>
  </r>
  <r>
    <x v="2"/>
    <x v="5"/>
    <x v="0"/>
    <x v="12"/>
    <s v="NA"/>
  </r>
  <r>
    <x v="5"/>
    <x v="5"/>
    <x v="0"/>
    <x v="12"/>
    <s v="NA"/>
  </r>
  <r>
    <x v="2"/>
    <x v="1"/>
    <x v="0"/>
    <x v="12"/>
    <s v="NA"/>
  </r>
  <r>
    <x v="6"/>
    <x v="1"/>
    <x v="0"/>
    <x v="12"/>
    <s v="NA"/>
  </r>
  <r>
    <x v="5"/>
    <x v="3"/>
    <x v="0"/>
    <x v="12"/>
    <s v="NA"/>
  </r>
  <r>
    <x v="2"/>
    <x v="3"/>
    <x v="0"/>
    <x v="12"/>
    <s v="NA"/>
  </r>
  <r>
    <x v="1"/>
    <x v="6"/>
    <x v="0"/>
    <x v="12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640FC-206C-4F66-B1A5-B14711452C2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vision-Year">
  <location ref="D3:E11" firstHeaderRow="1" firstDataRow="1" firstDataCol="1" rowPageCount="1" colPageCount="1"/>
  <pivotFields count="5">
    <pivotField showAll="0"/>
    <pivotField axis="axisRow" showAll="0">
      <items count="8">
        <item sd="0" x="0"/>
        <item sd="0" x="5"/>
        <item sd="0" x="1"/>
        <item sd="0" x="3"/>
        <item sd="0" x="2"/>
        <item sd="0" x="6"/>
        <item sd="0" x="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axis="axisPage" dataField="1" multipleItemSelectionAllowed="1" showAll="0">
      <items count="1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2"/>
        <item x="11"/>
        <item t="default"/>
      </items>
    </pivotField>
    <pivotField showAll="0"/>
  </pivotFields>
  <rowFields count="2">
    <field x="1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3" hier="-1"/>
  </pageFields>
  <dataFields count="1">
    <dataField name="DNF/DQ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5C6A6-E55F-43B5-829A-1AE8869DDF8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vision-Year">
  <location ref="A3:B11" firstHeaderRow="1" firstDataRow="1" firstDataCol="1"/>
  <pivotFields count="5">
    <pivotField showAll="0">
      <items count="12">
        <item x="1"/>
        <item x="5"/>
        <item x="7"/>
        <item x="4"/>
        <item x="0"/>
        <item x="8"/>
        <item x="3"/>
        <item x="2"/>
        <item x="6"/>
        <item x="9"/>
        <item x="10"/>
        <item t="default"/>
      </items>
    </pivotField>
    <pivotField axis="axisRow" showAll="0">
      <items count="8">
        <item sd="0" x="0"/>
        <item sd="0" x="5"/>
        <item sd="0" x="1"/>
        <item sd="0" x="3"/>
        <item sd="0" x="2"/>
        <item sd="0" x="6"/>
        <item sd="0" x="4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2">
    <field x="1"/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finish time" fld="4" subtotal="average" baseField="2" baseItem="0" numFmtId="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4D6EFF1-F876-4232-9EAA-775DD9073756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college" tableColumnId="2"/>
      <queryTableField id="3" name="divis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D242CD-33DE-486D-B3A0-2DE5D78EB2EE}" name="Joint_Team_List" displayName="Joint_Team_List" ref="A1:C293" tableType="queryTable" totalsRowShown="0">
  <autoFilter ref="A1:C293" xr:uid="{3FD242CD-33DE-486D-B3A0-2DE5D78EB2EE}"/>
  <tableColumns count="3">
    <tableColumn id="1" xr3:uid="{8E1CA2F6-B74B-4427-A4C2-598558F1149E}" uniqueName="1" name="name" queryTableFieldId="1" dataDxfId="6"/>
    <tableColumn id="2" xr3:uid="{70D986D5-2625-4D53-B8F7-6F7F376B18B6}" uniqueName="2" name="college" queryTableFieldId="2" dataDxfId="5"/>
    <tableColumn id="3" xr3:uid="{AFEAD0A4-9B93-425A-864D-8845CD11B197}" uniqueName="3" name="division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B80D4-B213-429E-B56C-FB721819C74A}" name="Table2" displayName="Table2" ref="A1:F1372" totalsRowShown="0">
  <autoFilter ref="A1:F1372" xr:uid="{4B7B80D4-B213-429E-B56C-FB721819C74A}"/>
  <sortState xmlns:xlrd2="http://schemas.microsoft.com/office/spreadsheetml/2017/richdata2" ref="A2:F1372">
    <sortCondition ref="A1:A1372"/>
  </sortState>
  <tableColumns count="6">
    <tableColumn id="1" xr3:uid="{DE738141-5FEA-4305-BF6B-FF2B7A034C56}" name="name"/>
    <tableColumn id="2" xr3:uid="{FCD35431-0CA2-4C21-BC78-5B992C0C9925}" name="college"/>
    <tableColumn id="3" xr3:uid="{EB89FB03-2386-439C-8225-7A6BF84BC05E}" name="division"/>
    <tableColumn id="4" xr3:uid="{90DE1B49-2603-40DE-B317-1E1F2726D773}" name="year"/>
    <tableColumn id="5" xr3:uid="{ED31458A-51A2-4A49-B919-20A1E85F00C3}" name="placing" dataDxfId="8">
      <calculatedColumnFormula array="1">_xlfn.XLOOKUP(Table2[[#This Row],[college]]&amp;Table2[[#This Row],[division]]&amp;Table2[[#This Row],[year]],
Teams[college]&amp;Teams[division]&amp;Teams[year],
Teams[placing], "NA")</calculatedColumnFormula>
    </tableColumn>
    <tableColumn id="6" xr3:uid="{C507D1B0-B87A-46D7-9359-0EB12B7BE108}" name="time" dataDxfId="7">
      <calculatedColumnFormula array="1">_xlfn.XLOOKUP(Table2[[#This Row],[college]]&amp;Table2[[#This Row],[division]]&amp;Table2[[#This Row],[year]],
Teams[college]&amp;Teams[division]&amp;Teams[year],
Teams[finish], "NA")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8BD7BB-FB43-4782-B848-5D58AA88C216}" name="Teams" displayName="Teams" ref="A1:I351" totalsRowShown="0">
  <autoFilter ref="A1:I351" xr:uid="{468BD7BB-FB43-4782-B848-5D58AA88C216}"/>
  <sortState xmlns:xlrd2="http://schemas.microsoft.com/office/spreadsheetml/2017/richdata2" ref="A5:I270">
    <sortCondition descending="1" ref="I1:I276"/>
  </sortState>
  <tableColumns count="9">
    <tableColumn id="2" xr3:uid="{2C9A103E-CB7C-4C6C-B5C3-ACAB378DA3C4}" name="college"/>
    <tableColumn id="3" xr3:uid="{00A447EB-2756-4F14-9E03-024FF511A897}" name="division"/>
    <tableColumn id="4" xr3:uid="{9B956A15-1C79-48BD-A262-92ADEE5FA8B6}" name="year"/>
    <tableColumn id="5" xr3:uid="{459D719B-0E27-4B30-B913-18642D9895E4}" name="placing"/>
    <tableColumn id="6" xr3:uid="{80CFEA41-D37D-4A33-8C11-13DBD3DF89E9}" name="finish"/>
    <tableColumn id="7" xr3:uid="{9625A09D-CDE6-456E-9CF8-4699125A5623}" name="winners" dataDxfId="4">
      <calculatedColumnFormula>AVERAGEIFS(Teams[finish],Teams[year],Teams[[#This Row],[year]],Teams[division],Teams[[#This Row],[division]],Teams[college],"&lt;&gt;Div *")</calculatedColumnFormula>
    </tableColumn>
    <tableColumn id="9" xr3:uid="{4A821836-6B95-4541-ABE5-F40A76593832}" name="winners alt" dataDxfId="3">
      <calculatedColumnFormula array="1">MOD(Teams[[#This Row],[winners]]-_xlfn.XLOOKUP(1,(Table1[year]=Teams[[#This Row],[year]])*(Table1[division]=Teams[[#This Row],[division]]),Table1[drop]),1)*1440</calculatedColumnFormula>
    </tableColumn>
    <tableColumn id="8" xr3:uid="{2377F6E2-3942-4677-BDFE-2835F086D7CE}" name="remaining" dataDxfId="2">
      <calculatedColumnFormula>(_xlfn.XLOOKUP(Teams[[#This Row],[year]],Table1[year],Table1[cutoff])-Teams[[#This Row],[finish]])*1440</calculatedColumnFormula>
    </tableColumn>
    <tableColumn id="1" xr3:uid="{B870D2CC-781D-48DB-9C54-06B0403948F1}" name="score" dataDxfId="1">
      <calculatedColumnFormula array="1">(Teams[[#This Row],[remaining]]+60)*Teams[[#This Row],[winners alt]]/_xlfn.XLOOKUP(1,(Table1[year]=Teams[[#This Row],[year]])*(Table1[division]=Teams[[#This Row],[division]]),Table1[available])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07C609-DE8B-415A-92CB-6F28D6A0C1DF}" name="Table1" displayName="Table1" ref="A1:E29" totalsRowShown="0">
  <autoFilter ref="A1:E29" xr:uid="{6A07C609-DE8B-415A-92CB-6F28D6A0C1DF}"/>
  <tableColumns count="5">
    <tableColumn id="1" xr3:uid="{1BC6EEB2-2D43-4329-8603-17E0242A6879}" name="year"/>
    <tableColumn id="2" xr3:uid="{2737182F-4459-483F-8C37-41E8441C5489}" name="division"/>
    <tableColumn id="3" xr3:uid="{AF0CA74F-B009-482C-870D-FB654E0C6293}" name="drop" dataDxfId="0"/>
    <tableColumn id="4" xr3:uid="{427DA798-7043-46E6-9ABC-680B139A83AA}" name="cutoff"/>
    <tableColumn id="5" xr3:uid="{3C1DF7A1-2625-47B4-B238-42A80A052EA5}" name="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5149-E271-4682-B6D0-C3A7C6BE9B4F}">
  <dimension ref="A1:C293"/>
  <sheetViews>
    <sheetView workbookViewId="0">
      <selection activeCell="A2" sqref="A2:C293"/>
    </sheetView>
  </sheetViews>
  <sheetFormatPr defaultRowHeight="14.4" x14ac:dyDescent="0.3"/>
  <cols>
    <col min="1" max="1" width="22" bestFit="1" customWidth="1"/>
    <col min="2" max="2" width="11" bestFit="1" customWidth="1"/>
    <col min="3" max="3" width="9.77734375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 t="s">
        <v>214</v>
      </c>
      <c r="B2" t="s">
        <v>123</v>
      </c>
      <c r="C2">
        <v>1</v>
      </c>
    </row>
    <row r="3" spans="1:3" x14ac:dyDescent="0.3">
      <c r="A3" t="s">
        <v>71</v>
      </c>
      <c r="B3" t="s">
        <v>15</v>
      </c>
      <c r="C3">
        <v>1</v>
      </c>
    </row>
    <row r="4" spans="1:3" x14ac:dyDescent="0.3">
      <c r="A4" t="s">
        <v>786</v>
      </c>
      <c r="B4" t="s">
        <v>132</v>
      </c>
      <c r="C4">
        <v>1</v>
      </c>
    </row>
    <row r="5" spans="1:3" x14ac:dyDescent="0.3">
      <c r="A5" t="s">
        <v>160</v>
      </c>
      <c r="B5" t="s">
        <v>787</v>
      </c>
      <c r="C5">
        <v>1</v>
      </c>
    </row>
    <row r="6" spans="1:3" x14ac:dyDescent="0.3">
      <c r="A6" t="s">
        <v>788</v>
      </c>
      <c r="B6" t="s">
        <v>5</v>
      </c>
      <c r="C6">
        <v>1</v>
      </c>
    </row>
    <row r="7" spans="1:3" x14ac:dyDescent="0.3">
      <c r="A7" t="s">
        <v>53</v>
      </c>
      <c r="B7" t="s">
        <v>19</v>
      </c>
      <c r="C7">
        <v>1</v>
      </c>
    </row>
    <row r="8" spans="1:3" x14ac:dyDescent="0.3">
      <c r="A8" t="s">
        <v>789</v>
      </c>
      <c r="B8" t="s">
        <v>266</v>
      </c>
      <c r="C8">
        <v>1</v>
      </c>
    </row>
    <row r="9" spans="1:3" x14ac:dyDescent="0.3">
      <c r="A9" t="s">
        <v>790</v>
      </c>
      <c r="B9" t="s">
        <v>250</v>
      </c>
      <c r="C9">
        <v>1</v>
      </c>
    </row>
    <row r="10" spans="1:3" x14ac:dyDescent="0.3">
      <c r="A10" t="s">
        <v>769</v>
      </c>
      <c r="B10" t="s">
        <v>123</v>
      </c>
      <c r="C10">
        <v>1</v>
      </c>
    </row>
    <row r="11" spans="1:3" x14ac:dyDescent="0.3">
      <c r="A11" t="s">
        <v>791</v>
      </c>
      <c r="B11" t="s">
        <v>15</v>
      </c>
      <c r="C11">
        <v>1</v>
      </c>
    </row>
    <row r="12" spans="1:3" x14ac:dyDescent="0.3">
      <c r="A12" t="s">
        <v>792</v>
      </c>
      <c r="B12" t="s">
        <v>132</v>
      </c>
      <c r="C12">
        <v>1</v>
      </c>
    </row>
    <row r="13" spans="1:3" x14ac:dyDescent="0.3">
      <c r="A13" t="s">
        <v>139</v>
      </c>
      <c r="B13" t="s">
        <v>787</v>
      </c>
      <c r="C13">
        <v>1</v>
      </c>
    </row>
    <row r="14" spans="1:3" x14ac:dyDescent="0.3">
      <c r="A14" t="s">
        <v>793</v>
      </c>
      <c r="B14" t="s">
        <v>5</v>
      </c>
      <c r="C14">
        <v>1</v>
      </c>
    </row>
    <row r="15" spans="1:3" x14ac:dyDescent="0.3">
      <c r="A15" t="s">
        <v>794</v>
      </c>
      <c r="B15" t="s">
        <v>19</v>
      </c>
      <c r="C15">
        <v>1</v>
      </c>
    </row>
    <row r="16" spans="1:3" x14ac:dyDescent="0.3">
      <c r="A16" t="s">
        <v>795</v>
      </c>
      <c r="B16" t="s">
        <v>266</v>
      </c>
      <c r="C16">
        <v>1</v>
      </c>
    </row>
    <row r="17" spans="1:3" x14ac:dyDescent="0.3">
      <c r="A17" t="s">
        <v>796</v>
      </c>
      <c r="B17" t="s">
        <v>250</v>
      </c>
      <c r="C17">
        <v>1</v>
      </c>
    </row>
    <row r="18" spans="1:3" x14ac:dyDescent="0.3">
      <c r="A18" t="s">
        <v>775</v>
      </c>
      <c r="B18" t="s">
        <v>123</v>
      </c>
      <c r="C18">
        <v>1</v>
      </c>
    </row>
    <row r="19" spans="1:3" x14ac:dyDescent="0.3">
      <c r="A19" t="s">
        <v>181</v>
      </c>
      <c r="B19" t="s">
        <v>15</v>
      </c>
      <c r="C19">
        <v>1</v>
      </c>
    </row>
    <row r="20" spans="1:3" x14ac:dyDescent="0.3">
      <c r="A20" t="s">
        <v>177</v>
      </c>
      <c r="B20" t="s">
        <v>132</v>
      </c>
      <c r="C20">
        <v>1</v>
      </c>
    </row>
    <row r="21" spans="1:3" x14ac:dyDescent="0.3">
      <c r="A21" t="s">
        <v>159</v>
      </c>
      <c r="B21" t="s">
        <v>787</v>
      </c>
      <c r="C21">
        <v>1</v>
      </c>
    </row>
    <row r="22" spans="1:3" x14ac:dyDescent="0.3">
      <c r="A22" t="s">
        <v>797</v>
      </c>
      <c r="B22" t="s">
        <v>5</v>
      </c>
      <c r="C22">
        <v>1</v>
      </c>
    </row>
    <row r="23" spans="1:3" x14ac:dyDescent="0.3">
      <c r="A23" t="s">
        <v>76</v>
      </c>
      <c r="B23" t="s">
        <v>19</v>
      </c>
      <c r="C23">
        <v>1</v>
      </c>
    </row>
    <row r="24" spans="1:3" x14ac:dyDescent="0.3">
      <c r="A24" t="s">
        <v>274</v>
      </c>
      <c r="B24" t="s">
        <v>266</v>
      </c>
      <c r="C24">
        <v>1</v>
      </c>
    </row>
    <row r="25" spans="1:3" x14ac:dyDescent="0.3">
      <c r="A25" t="s">
        <v>798</v>
      </c>
      <c r="B25" t="s">
        <v>250</v>
      </c>
      <c r="C25">
        <v>1</v>
      </c>
    </row>
    <row r="26" spans="1:3" x14ac:dyDescent="0.3">
      <c r="A26" t="s">
        <v>126</v>
      </c>
      <c r="B26" t="s">
        <v>123</v>
      </c>
      <c r="C26">
        <v>1</v>
      </c>
    </row>
    <row r="27" spans="1:3" x14ac:dyDescent="0.3">
      <c r="A27" t="s">
        <v>172</v>
      </c>
      <c r="B27" t="s">
        <v>15</v>
      </c>
      <c r="C27">
        <v>1</v>
      </c>
    </row>
    <row r="28" spans="1:3" x14ac:dyDescent="0.3">
      <c r="A28" t="s">
        <v>185</v>
      </c>
      <c r="B28" t="s">
        <v>132</v>
      </c>
      <c r="C28">
        <v>1</v>
      </c>
    </row>
    <row r="29" spans="1:3" x14ac:dyDescent="0.3">
      <c r="A29" t="s">
        <v>161</v>
      </c>
      <c r="B29" t="s">
        <v>787</v>
      </c>
      <c r="C29">
        <v>1</v>
      </c>
    </row>
    <row r="30" spans="1:3" x14ac:dyDescent="0.3">
      <c r="A30" t="s">
        <v>799</v>
      </c>
      <c r="B30" t="s">
        <v>5</v>
      </c>
      <c r="C30">
        <v>1</v>
      </c>
    </row>
    <row r="31" spans="1:3" x14ac:dyDescent="0.3">
      <c r="A31" t="s">
        <v>800</v>
      </c>
      <c r="B31" t="s">
        <v>19</v>
      </c>
      <c r="C31">
        <v>1</v>
      </c>
    </row>
    <row r="32" spans="1:3" x14ac:dyDescent="0.3">
      <c r="A32" t="s">
        <v>801</v>
      </c>
      <c r="B32" t="s">
        <v>266</v>
      </c>
      <c r="C32">
        <v>1</v>
      </c>
    </row>
    <row r="33" spans="1:3" x14ac:dyDescent="0.3">
      <c r="A33" t="s">
        <v>260</v>
      </c>
      <c r="B33" t="s">
        <v>250</v>
      </c>
      <c r="C33">
        <v>1</v>
      </c>
    </row>
    <row r="34" spans="1:3" x14ac:dyDescent="0.3">
      <c r="A34" t="s">
        <v>767</v>
      </c>
      <c r="B34" t="s">
        <v>123</v>
      </c>
      <c r="C34">
        <v>2</v>
      </c>
    </row>
    <row r="35" spans="1:3" x14ac:dyDescent="0.3">
      <c r="A35" t="s">
        <v>802</v>
      </c>
      <c r="B35" t="s">
        <v>15</v>
      </c>
      <c r="C35">
        <v>2</v>
      </c>
    </row>
    <row r="36" spans="1:3" x14ac:dyDescent="0.3">
      <c r="A36" t="s">
        <v>803</v>
      </c>
      <c r="B36" t="s">
        <v>132</v>
      </c>
      <c r="C36">
        <v>2</v>
      </c>
    </row>
    <row r="37" spans="1:3" x14ac:dyDescent="0.3">
      <c r="A37" t="s">
        <v>136</v>
      </c>
      <c r="B37" t="s">
        <v>787</v>
      </c>
      <c r="C37">
        <v>2</v>
      </c>
    </row>
    <row r="38" spans="1:3" x14ac:dyDescent="0.3">
      <c r="A38" t="s">
        <v>804</v>
      </c>
      <c r="B38" t="s">
        <v>5</v>
      </c>
      <c r="C38">
        <v>2</v>
      </c>
    </row>
    <row r="39" spans="1:3" x14ac:dyDescent="0.3">
      <c r="A39" t="s">
        <v>805</v>
      </c>
      <c r="B39" t="s">
        <v>19</v>
      </c>
      <c r="C39">
        <v>2</v>
      </c>
    </row>
    <row r="40" spans="1:3" x14ac:dyDescent="0.3">
      <c r="A40" t="s">
        <v>245</v>
      </c>
      <c r="B40" t="s">
        <v>10</v>
      </c>
      <c r="C40">
        <v>2</v>
      </c>
    </row>
    <row r="41" spans="1:3" x14ac:dyDescent="0.3">
      <c r="A41" t="s">
        <v>277</v>
      </c>
      <c r="B41" t="s">
        <v>266</v>
      </c>
      <c r="C41">
        <v>2</v>
      </c>
    </row>
    <row r="42" spans="1:3" x14ac:dyDescent="0.3">
      <c r="A42" t="s">
        <v>806</v>
      </c>
      <c r="B42" t="s">
        <v>250</v>
      </c>
      <c r="C42">
        <v>2</v>
      </c>
    </row>
    <row r="43" spans="1:3" x14ac:dyDescent="0.3">
      <c r="A43" t="s">
        <v>807</v>
      </c>
      <c r="B43" t="s">
        <v>241</v>
      </c>
      <c r="C43">
        <v>2</v>
      </c>
    </row>
    <row r="44" spans="1:3" x14ac:dyDescent="0.3">
      <c r="A44" t="s">
        <v>770</v>
      </c>
      <c r="B44" t="s">
        <v>123</v>
      </c>
      <c r="C44">
        <v>2</v>
      </c>
    </row>
    <row r="45" spans="1:3" x14ac:dyDescent="0.3">
      <c r="A45" t="s">
        <v>808</v>
      </c>
      <c r="B45" t="s">
        <v>15</v>
      </c>
      <c r="C45">
        <v>2</v>
      </c>
    </row>
    <row r="46" spans="1:3" x14ac:dyDescent="0.3">
      <c r="A46" t="s">
        <v>809</v>
      </c>
      <c r="B46" t="s">
        <v>132</v>
      </c>
      <c r="C46">
        <v>2</v>
      </c>
    </row>
    <row r="47" spans="1:3" x14ac:dyDescent="0.3">
      <c r="A47" t="s">
        <v>166</v>
      </c>
      <c r="B47" t="s">
        <v>787</v>
      </c>
      <c r="C47">
        <v>2</v>
      </c>
    </row>
    <row r="48" spans="1:3" x14ac:dyDescent="0.3">
      <c r="A48" t="s">
        <v>810</v>
      </c>
      <c r="B48" t="s">
        <v>5</v>
      </c>
      <c r="C48">
        <v>2</v>
      </c>
    </row>
    <row r="49" spans="1:3" x14ac:dyDescent="0.3">
      <c r="A49" t="s">
        <v>811</v>
      </c>
      <c r="B49" t="s">
        <v>19</v>
      </c>
      <c r="C49">
        <v>2</v>
      </c>
    </row>
    <row r="50" spans="1:3" x14ac:dyDescent="0.3">
      <c r="A50" t="s">
        <v>812</v>
      </c>
      <c r="B50" t="s">
        <v>10</v>
      </c>
      <c r="C50">
        <v>2</v>
      </c>
    </row>
    <row r="51" spans="1:3" x14ac:dyDescent="0.3">
      <c r="A51" t="s">
        <v>275</v>
      </c>
      <c r="B51" t="s">
        <v>266</v>
      </c>
      <c r="C51">
        <v>2</v>
      </c>
    </row>
    <row r="52" spans="1:3" x14ac:dyDescent="0.3">
      <c r="A52" t="s">
        <v>813</v>
      </c>
      <c r="B52" t="s">
        <v>250</v>
      </c>
      <c r="C52">
        <v>2</v>
      </c>
    </row>
    <row r="53" spans="1:3" x14ac:dyDescent="0.3">
      <c r="A53" t="s">
        <v>216</v>
      </c>
      <c r="B53" t="s">
        <v>241</v>
      </c>
      <c r="C53">
        <v>2</v>
      </c>
    </row>
    <row r="54" spans="1:3" x14ac:dyDescent="0.3">
      <c r="A54" t="s">
        <v>776</v>
      </c>
      <c r="B54" t="s">
        <v>123</v>
      </c>
      <c r="C54">
        <v>2</v>
      </c>
    </row>
    <row r="55" spans="1:3" x14ac:dyDescent="0.3">
      <c r="A55" t="s">
        <v>814</v>
      </c>
      <c r="B55" t="s">
        <v>15</v>
      </c>
      <c r="C55">
        <v>2</v>
      </c>
    </row>
    <row r="56" spans="1:3" x14ac:dyDescent="0.3">
      <c r="A56" t="s">
        <v>815</v>
      </c>
      <c r="B56" t="s">
        <v>132</v>
      </c>
      <c r="C56">
        <v>2</v>
      </c>
    </row>
    <row r="57" spans="1:3" x14ac:dyDescent="0.3">
      <c r="A57" t="s">
        <v>816</v>
      </c>
      <c r="B57" t="s">
        <v>787</v>
      </c>
      <c r="C57">
        <v>2</v>
      </c>
    </row>
    <row r="58" spans="1:3" x14ac:dyDescent="0.3">
      <c r="A58" t="s">
        <v>817</v>
      </c>
      <c r="B58" t="s">
        <v>5</v>
      </c>
      <c r="C58">
        <v>2</v>
      </c>
    </row>
    <row r="59" spans="1:3" x14ac:dyDescent="0.3">
      <c r="A59" t="s">
        <v>30</v>
      </c>
      <c r="B59" t="s">
        <v>19</v>
      </c>
      <c r="C59">
        <v>2</v>
      </c>
    </row>
    <row r="60" spans="1:3" x14ac:dyDescent="0.3">
      <c r="A60" t="s">
        <v>62</v>
      </c>
      <c r="B60" t="s">
        <v>10</v>
      </c>
      <c r="C60">
        <v>2</v>
      </c>
    </row>
    <row r="61" spans="1:3" x14ac:dyDescent="0.3">
      <c r="A61" t="s">
        <v>268</v>
      </c>
      <c r="B61" t="s">
        <v>266</v>
      </c>
      <c r="C61">
        <v>2</v>
      </c>
    </row>
    <row r="62" spans="1:3" x14ac:dyDescent="0.3">
      <c r="A62" t="s">
        <v>818</v>
      </c>
      <c r="B62" t="s">
        <v>250</v>
      </c>
      <c r="C62">
        <v>2</v>
      </c>
    </row>
    <row r="63" spans="1:3" x14ac:dyDescent="0.3">
      <c r="A63" t="s">
        <v>314</v>
      </c>
      <c r="B63" t="s">
        <v>241</v>
      </c>
      <c r="C63">
        <v>2</v>
      </c>
    </row>
    <row r="64" spans="1:3" x14ac:dyDescent="0.3">
      <c r="A64" t="s">
        <v>780</v>
      </c>
      <c r="B64" t="s">
        <v>123</v>
      </c>
      <c r="C64">
        <v>2</v>
      </c>
    </row>
    <row r="65" spans="1:3" x14ac:dyDescent="0.3">
      <c r="A65" t="s">
        <v>819</v>
      </c>
      <c r="B65" t="s">
        <v>15</v>
      </c>
      <c r="C65">
        <v>2</v>
      </c>
    </row>
    <row r="66" spans="1:3" x14ac:dyDescent="0.3">
      <c r="A66" t="s">
        <v>820</v>
      </c>
      <c r="B66" t="s">
        <v>132</v>
      </c>
      <c r="C66">
        <v>2</v>
      </c>
    </row>
    <row r="67" spans="1:3" x14ac:dyDescent="0.3">
      <c r="A67" t="s">
        <v>821</v>
      </c>
      <c r="B67" t="s">
        <v>787</v>
      </c>
      <c r="C67">
        <v>2</v>
      </c>
    </row>
    <row r="68" spans="1:3" x14ac:dyDescent="0.3">
      <c r="A68" t="s">
        <v>822</v>
      </c>
      <c r="B68" t="s">
        <v>5</v>
      </c>
      <c r="C68">
        <v>2</v>
      </c>
    </row>
    <row r="69" spans="1:3" x14ac:dyDescent="0.3">
      <c r="A69" t="s">
        <v>25</v>
      </c>
      <c r="B69" t="s">
        <v>19</v>
      </c>
      <c r="C69">
        <v>2</v>
      </c>
    </row>
    <row r="70" spans="1:3" x14ac:dyDescent="0.3">
      <c r="A70" t="s">
        <v>823</v>
      </c>
      <c r="B70" t="s">
        <v>10</v>
      </c>
      <c r="C70">
        <v>2</v>
      </c>
    </row>
    <row r="71" spans="1:3" x14ac:dyDescent="0.3">
      <c r="A71" t="s">
        <v>280</v>
      </c>
      <c r="B71" t="s">
        <v>266</v>
      </c>
      <c r="C71">
        <v>2</v>
      </c>
    </row>
    <row r="72" spans="1:3" x14ac:dyDescent="0.3">
      <c r="A72" t="s">
        <v>824</v>
      </c>
      <c r="B72" t="s">
        <v>250</v>
      </c>
      <c r="C72">
        <v>2</v>
      </c>
    </row>
    <row r="73" spans="1:3" x14ac:dyDescent="0.3">
      <c r="A73" t="s">
        <v>825</v>
      </c>
      <c r="B73" t="s">
        <v>241</v>
      </c>
      <c r="C73">
        <v>2</v>
      </c>
    </row>
    <row r="74" spans="1:3" x14ac:dyDescent="0.3">
      <c r="A74" t="s">
        <v>167</v>
      </c>
      <c r="B74" t="s">
        <v>123</v>
      </c>
      <c r="C74">
        <v>3</v>
      </c>
    </row>
    <row r="75" spans="1:3" x14ac:dyDescent="0.3">
      <c r="A75" t="s">
        <v>105</v>
      </c>
      <c r="B75" t="s">
        <v>15</v>
      </c>
      <c r="C75">
        <v>3</v>
      </c>
    </row>
    <row r="76" spans="1:3" x14ac:dyDescent="0.3">
      <c r="A76" t="s">
        <v>190</v>
      </c>
      <c r="B76" t="s">
        <v>132</v>
      </c>
      <c r="C76">
        <v>3</v>
      </c>
    </row>
    <row r="77" spans="1:3" x14ac:dyDescent="0.3">
      <c r="A77" t="s">
        <v>165</v>
      </c>
      <c r="B77" t="s">
        <v>787</v>
      </c>
      <c r="C77">
        <v>3</v>
      </c>
    </row>
    <row r="78" spans="1:3" x14ac:dyDescent="0.3">
      <c r="A78" t="s">
        <v>826</v>
      </c>
      <c r="B78" t="s">
        <v>5</v>
      </c>
      <c r="C78">
        <v>3</v>
      </c>
    </row>
    <row r="79" spans="1:3" x14ac:dyDescent="0.3">
      <c r="A79" t="s">
        <v>827</v>
      </c>
      <c r="B79" t="s">
        <v>19</v>
      </c>
      <c r="C79">
        <v>3</v>
      </c>
    </row>
    <row r="80" spans="1:3" x14ac:dyDescent="0.3">
      <c r="A80" t="s">
        <v>263</v>
      </c>
      <c r="B80" t="s">
        <v>10</v>
      </c>
      <c r="C80">
        <v>3</v>
      </c>
    </row>
    <row r="81" spans="1:3" x14ac:dyDescent="0.3">
      <c r="A81" t="s">
        <v>279</v>
      </c>
      <c r="B81" t="s">
        <v>266</v>
      </c>
      <c r="C81">
        <v>3</v>
      </c>
    </row>
    <row r="82" spans="1:3" x14ac:dyDescent="0.3">
      <c r="A82" t="s">
        <v>828</v>
      </c>
      <c r="B82" t="s">
        <v>250</v>
      </c>
      <c r="C82">
        <v>3</v>
      </c>
    </row>
    <row r="83" spans="1:3" x14ac:dyDescent="0.3">
      <c r="A83" t="s">
        <v>301</v>
      </c>
      <c r="B83" t="s">
        <v>241</v>
      </c>
      <c r="C83">
        <v>3</v>
      </c>
    </row>
    <row r="84" spans="1:3" x14ac:dyDescent="0.3">
      <c r="A84" t="s">
        <v>771</v>
      </c>
      <c r="B84" t="s">
        <v>123</v>
      </c>
      <c r="C84">
        <v>3</v>
      </c>
    </row>
    <row r="85" spans="1:3" x14ac:dyDescent="0.3">
      <c r="A85" t="s">
        <v>829</v>
      </c>
      <c r="B85" t="s">
        <v>15</v>
      </c>
      <c r="C85">
        <v>3</v>
      </c>
    </row>
    <row r="86" spans="1:3" x14ac:dyDescent="0.3">
      <c r="A86" t="s">
        <v>830</v>
      </c>
      <c r="B86" t="s">
        <v>132</v>
      </c>
      <c r="C86">
        <v>3</v>
      </c>
    </row>
    <row r="87" spans="1:3" x14ac:dyDescent="0.3">
      <c r="A87" t="s">
        <v>211</v>
      </c>
      <c r="B87" t="s">
        <v>787</v>
      </c>
      <c r="C87">
        <v>3</v>
      </c>
    </row>
    <row r="88" spans="1:3" x14ac:dyDescent="0.3">
      <c r="A88" t="s">
        <v>831</v>
      </c>
      <c r="B88" t="s">
        <v>5</v>
      </c>
      <c r="C88">
        <v>3</v>
      </c>
    </row>
    <row r="89" spans="1:3" x14ac:dyDescent="0.3">
      <c r="A89" t="s">
        <v>832</v>
      </c>
      <c r="B89" t="s">
        <v>19</v>
      </c>
      <c r="C89">
        <v>3</v>
      </c>
    </row>
    <row r="90" spans="1:3" x14ac:dyDescent="0.3">
      <c r="A90" t="s">
        <v>833</v>
      </c>
      <c r="B90" t="s">
        <v>10</v>
      </c>
      <c r="C90">
        <v>3</v>
      </c>
    </row>
    <row r="91" spans="1:3" x14ac:dyDescent="0.3">
      <c r="A91" t="s">
        <v>834</v>
      </c>
      <c r="B91" t="s">
        <v>266</v>
      </c>
      <c r="C91">
        <v>3</v>
      </c>
    </row>
    <row r="92" spans="1:3" x14ac:dyDescent="0.3">
      <c r="A92" t="s">
        <v>835</v>
      </c>
      <c r="B92" t="s">
        <v>250</v>
      </c>
      <c r="C92">
        <v>3</v>
      </c>
    </row>
    <row r="93" spans="1:3" x14ac:dyDescent="0.3">
      <c r="A93" t="s">
        <v>836</v>
      </c>
      <c r="B93" t="s">
        <v>241</v>
      </c>
      <c r="C93">
        <v>3</v>
      </c>
    </row>
    <row r="94" spans="1:3" x14ac:dyDescent="0.3">
      <c r="A94" t="s">
        <v>200</v>
      </c>
      <c r="B94" t="s">
        <v>123</v>
      </c>
      <c r="C94">
        <v>3</v>
      </c>
    </row>
    <row r="95" spans="1:3" x14ac:dyDescent="0.3">
      <c r="A95" t="s">
        <v>837</v>
      </c>
      <c r="B95" t="s">
        <v>15</v>
      </c>
      <c r="C95">
        <v>3</v>
      </c>
    </row>
    <row r="96" spans="1:3" x14ac:dyDescent="0.3">
      <c r="A96" t="s">
        <v>838</v>
      </c>
      <c r="B96" t="s">
        <v>132</v>
      </c>
      <c r="C96">
        <v>3</v>
      </c>
    </row>
    <row r="97" spans="1:3" x14ac:dyDescent="0.3">
      <c r="A97" t="s">
        <v>839</v>
      </c>
      <c r="B97" t="s">
        <v>787</v>
      </c>
      <c r="C97">
        <v>3</v>
      </c>
    </row>
    <row r="98" spans="1:3" x14ac:dyDescent="0.3">
      <c r="A98" t="s">
        <v>840</v>
      </c>
      <c r="B98" t="s">
        <v>5</v>
      </c>
      <c r="C98">
        <v>3</v>
      </c>
    </row>
    <row r="99" spans="1:3" x14ac:dyDescent="0.3">
      <c r="A99" t="s">
        <v>23</v>
      </c>
      <c r="B99" t="s">
        <v>19</v>
      </c>
      <c r="C99">
        <v>3</v>
      </c>
    </row>
    <row r="100" spans="1:3" x14ac:dyDescent="0.3">
      <c r="A100" t="s">
        <v>262</v>
      </c>
      <c r="B100" t="s">
        <v>10</v>
      </c>
      <c r="C100">
        <v>3</v>
      </c>
    </row>
    <row r="101" spans="1:3" x14ac:dyDescent="0.3">
      <c r="A101" t="s">
        <v>318</v>
      </c>
      <c r="B101" t="s">
        <v>266</v>
      </c>
      <c r="C101">
        <v>3</v>
      </c>
    </row>
    <row r="102" spans="1:3" x14ac:dyDescent="0.3">
      <c r="A102" t="s">
        <v>290</v>
      </c>
      <c r="B102" t="s">
        <v>250</v>
      </c>
      <c r="C102">
        <v>3</v>
      </c>
    </row>
    <row r="103" spans="1:3" x14ac:dyDescent="0.3">
      <c r="A103" t="s">
        <v>306</v>
      </c>
      <c r="B103" t="s">
        <v>241</v>
      </c>
      <c r="C103">
        <v>3</v>
      </c>
    </row>
    <row r="104" spans="1:3" x14ac:dyDescent="0.3">
      <c r="A104" t="s">
        <v>781</v>
      </c>
      <c r="B104" t="s">
        <v>123</v>
      </c>
      <c r="C104">
        <v>3</v>
      </c>
    </row>
    <row r="105" spans="1:3" x14ac:dyDescent="0.3">
      <c r="A105" t="s">
        <v>46</v>
      </c>
      <c r="B105" t="s">
        <v>15</v>
      </c>
      <c r="C105">
        <v>3</v>
      </c>
    </row>
    <row r="106" spans="1:3" x14ac:dyDescent="0.3">
      <c r="A106" t="s">
        <v>841</v>
      </c>
      <c r="B106" t="s">
        <v>132</v>
      </c>
      <c r="C106">
        <v>3</v>
      </c>
    </row>
    <row r="107" spans="1:3" x14ac:dyDescent="0.3">
      <c r="A107" t="s">
        <v>842</v>
      </c>
      <c r="B107" t="s">
        <v>787</v>
      </c>
      <c r="C107">
        <v>3</v>
      </c>
    </row>
    <row r="108" spans="1:3" x14ac:dyDescent="0.3">
      <c r="A108" t="s">
        <v>843</v>
      </c>
      <c r="B108" t="s">
        <v>5</v>
      </c>
      <c r="C108">
        <v>3</v>
      </c>
    </row>
    <row r="109" spans="1:3" x14ac:dyDescent="0.3">
      <c r="A109" t="s">
        <v>844</v>
      </c>
      <c r="B109" t="s">
        <v>19</v>
      </c>
      <c r="C109">
        <v>3</v>
      </c>
    </row>
    <row r="110" spans="1:3" x14ac:dyDescent="0.3">
      <c r="A110" t="s">
        <v>845</v>
      </c>
      <c r="B110" t="s">
        <v>10</v>
      </c>
      <c r="C110">
        <v>3</v>
      </c>
    </row>
    <row r="111" spans="1:3" x14ac:dyDescent="0.3">
      <c r="A111" t="s">
        <v>846</v>
      </c>
      <c r="B111" t="s">
        <v>266</v>
      </c>
      <c r="C111">
        <v>3</v>
      </c>
    </row>
    <row r="112" spans="1:3" x14ac:dyDescent="0.3">
      <c r="A112" t="s">
        <v>847</v>
      </c>
      <c r="B112" t="s">
        <v>250</v>
      </c>
      <c r="C112">
        <v>3</v>
      </c>
    </row>
    <row r="113" spans="1:3" x14ac:dyDescent="0.3">
      <c r="A113" t="s">
        <v>848</v>
      </c>
      <c r="B113" t="s">
        <v>241</v>
      </c>
      <c r="C113">
        <v>3</v>
      </c>
    </row>
    <row r="114" spans="1:3" x14ac:dyDescent="0.3">
      <c r="A114" t="s">
        <v>768</v>
      </c>
      <c r="B114" t="s">
        <v>123</v>
      </c>
      <c r="C114">
        <v>4</v>
      </c>
    </row>
    <row r="115" spans="1:3" x14ac:dyDescent="0.3">
      <c r="A115" t="s">
        <v>171</v>
      </c>
      <c r="B115" t="s">
        <v>15</v>
      </c>
      <c r="C115">
        <v>4</v>
      </c>
    </row>
    <row r="116" spans="1:3" x14ac:dyDescent="0.3">
      <c r="A116" t="s">
        <v>149</v>
      </c>
      <c r="B116" t="s">
        <v>132</v>
      </c>
      <c r="C116">
        <v>4</v>
      </c>
    </row>
    <row r="117" spans="1:3" x14ac:dyDescent="0.3">
      <c r="A117" t="s">
        <v>849</v>
      </c>
      <c r="B117" t="s">
        <v>787</v>
      </c>
      <c r="C117">
        <v>4</v>
      </c>
    </row>
    <row r="118" spans="1:3" x14ac:dyDescent="0.3">
      <c r="A118" t="s">
        <v>850</v>
      </c>
      <c r="B118" t="s">
        <v>5</v>
      </c>
      <c r="C118">
        <v>4</v>
      </c>
    </row>
    <row r="119" spans="1:3" x14ac:dyDescent="0.3">
      <c r="A119" t="s">
        <v>851</v>
      </c>
      <c r="B119" t="s">
        <v>19</v>
      </c>
      <c r="C119">
        <v>4</v>
      </c>
    </row>
    <row r="120" spans="1:3" x14ac:dyDescent="0.3">
      <c r="A120" t="s">
        <v>852</v>
      </c>
      <c r="B120" t="s">
        <v>10</v>
      </c>
      <c r="C120">
        <v>4</v>
      </c>
    </row>
    <row r="121" spans="1:3" x14ac:dyDescent="0.3">
      <c r="A121" t="s">
        <v>853</v>
      </c>
      <c r="B121" t="s">
        <v>266</v>
      </c>
      <c r="C121">
        <v>4</v>
      </c>
    </row>
    <row r="122" spans="1:3" x14ac:dyDescent="0.3">
      <c r="A122" t="s">
        <v>256</v>
      </c>
      <c r="B122" t="s">
        <v>250</v>
      </c>
      <c r="C122">
        <v>4</v>
      </c>
    </row>
    <row r="123" spans="1:3" x14ac:dyDescent="0.3">
      <c r="A123" t="s">
        <v>854</v>
      </c>
      <c r="B123" t="s">
        <v>241</v>
      </c>
      <c r="C123">
        <v>4</v>
      </c>
    </row>
    <row r="124" spans="1:3" x14ac:dyDescent="0.3">
      <c r="A124" t="s">
        <v>772</v>
      </c>
      <c r="B124" t="s">
        <v>123</v>
      </c>
      <c r="C124">
        <v>4</v>
      </c>
    </row>
    <row r="125" spans="1:3" x14ac:dyDescent="0.3">
      <c r="A125" t="s">
        <v>855</v>
      </c>
      <c r="B125" t="s">
        <v>15</v>
      </c>
      <c r="C125">
        <v>4</v>
      </c>
    </row>
    <row r="126" spans="1:3" x14ac:dyDescent="0.3">
      <c r="A126" t="s">
        <v>856</v>
      </c>
      <c r="B126" t="s">
        <v>132</v>
      </c>
      <c r="C126">
        <v>4</v>
      </c>
    </row>
    <row r="127" spans="1:3" x14ac:dyDescent="0.3">
      <c r="A127" t="s">
        <v>857</v>
      </c>
      <c r="B127" t="s">
        <v>787</v>
      </c>
      <c r="C127">
        <v>4</v>
      </c>
    </row>
    <row r="128" spans="1:3" x14ac:dyDescent="0.3">
      <c r="A128" t="s">
        <v>858</v>
      </c>
      <c r="B128" t="s">
        <v>5</v>
      </c>
      <c r="C128">
        <v>4</v>
      </c>
    </row>
    <row r="129" spans="1:3" x14ac:dyDescent="0.3">
      <c r="A129" t="s">
        <v>859</v>
      </c>
      <c r="B129" t="s">
        <v>19</v>
      </c>
      <c r="C129">
        <v>4</v>
      </c>
    </row>
    <row r="130" spans="1:3" x14ac:dyDescent="0.3">
      <c r="A130" t="s">
        <v>860</v>
      </c>
      <c r="B130" t="s">
        <v>10</v>
      </c>
      <c r="C130">
        <v>4</v>
      </c>
    </row>
    <row r="131" spans="1:3" x14ac:dyDescent="0.3">
      <c r="A131" t="s">
        <v>861</v>
      </c>
      <c r="B131" t="s">
        <v>266</v>
      </c>
      <c r="C131">
        <v>4</v>
      </c>
    </row>
    <row r="132" spans="1:3" x14ac:dyDescent="0.3">
      <c r="A132" t="s">
        <v>862</v>
      </c>
      <c r="B132" t="s">
        <v>250</v>
      </c>
      <c r="C132">
        <v>4</v>
      </c>
    </row>
    <row r="133" spans="1:3" x14ac:dyDescent="0.3">
      <c r="A133" t="s">
        <v>863</v>
      </c>
      <c r="B133" t="s">
        <v>241</v>
      </c>
      <c r="C133">
        <v>4</v>
      </c>
    </row>
    <row r="134" spans="1:3" x14ac:dyDescent="0.3">
      <c r="A134" t="s">
        <v>127</v>
      </c>
      <c r="B134" t="s">
        <v>123</v>
      </c>
      <c r="C134">
        <v>4</v>
      </c>
    </row>
    <row r="135" spans="1:3" x14ac:dyDescent="0.3">
      <c r="A135" t="s">
        <v>864</v>
      </c>
      <c r="B135" t="s">
        <v>15</v>
      </c>
      <c r="C135">
        <v>4</v>
      </c>
    </row>
    <row r="136" spans="1:3" x14ac:dyDescent="0.3">
      <c r="A136" t="s">
        <v>865</v>
      </c>
      <c r="B136" t="s">
        <v>132</v>
      </c>
      <c r="C136">
        <v>4</v>
      </c>
    </row>
    <row r="137" spans="1:3" x14ac:dyDescent="0.3">
      <c r="A137" t="s">
        <v>866</v>
      </c>
      <c r="B137" t="s">
        <v>787</v>
      </c>
      <c r="C137">
        <v>4</v>
      </c>
    </row>
    <row r="138" spans="1:3" x14ac:dyDescent="0.3">
      <c r="A138" t="s">
        <v>867</v>
      </c>
      <c r="B138" t="s">
        <v>5</v>
      </c>
      <c r="C138">
        <v>4</v>
      </c>
    </row>
    <row r="139" spans="1:3" x14ac:dyDescent="0.3">
      <c r="A139" t="s">
        <v>21</v>
      </c>
      <c r="B139" t="s">
        <v>19</v>
      </c>
      <c r="C139">
        <v>4</v>
      </c>
    </row>
    <row r="140" spans="1:3" x14ac:dyDescent="0.3">
      <c r="A140" t="s">
        <v>868</v>
      </c>
      <c r="B140" t="s">
        <v>10</v>
      </c>
      <c r="C140">
        <v>4</v>
      </c>
    </row>
    <row r="141" spans="1:3" x14ac:dyDescent="0.3">
      <c r="A141" t="s">
        <v>869</v>
      </c>
      <c r="B141" t="s">
        <v>266</v>
      </c>
      <c r="C141">
        <v>4</v>
      </c>
    </row>
    <row r="142" spans="1:3" x14ac:dyDescent="0.3">
      <c r="A142" t="s">
        <v>870</v>
      </c>
      <c r="B142" t="s">
        <v>250</v>
      </c>
      <c r="C142">
        <v>4</v>
      </c>
    </row>
    <row r="143" spans="1:3" x14ac:dyDescent="0.3">
      <c r="A143" t="s">
        <v>242</v>
      </c>
      <c r="B143" t="s">
        <v>241</v>
      </c>
      <c r="C143">
        <v>4</v>
      </c>
    </row>
    <row r="144" spans="1:3" x14ac:dyDescent="0.3">
      <c r="A144" t="s">
        <v>782</v>
      </c>
      <c r="B144" t="s">
        <v>123</v>
      </c>
      <c r="C144">
        <v>4</v>
      </c>
    </row>
    <row r="145" spans="1:3" x14ac:dyDescent="0.3">
      <c r="A145" t="s">
        <v>871</v>
      </c>
      <c r="B145" t="s">
        <v>15</v>
      </c>
      <c r="C145">
        <v>4</v>
      </c>
    </row>
    <row r="146" spans="1:3" x14ac:dyDescent="0.3">
      <c r="A146" t="s">
        <v>872</v>
      </c>
      <c r="B146" t="s">
        <v>132</v>
      </c>
      <c r="C146">
        <v>4</v>
      </c>
    </row>
    <row r="147" spans="1:3" x14ac:dyDescent="0.3">
      <c r="A147" t="s">
        <v>873</v>
      </c>
      <c r="B147" t="s">
        <v>787</v>
      </c>
      <c r="C147">
        <v>4</v>
      </c>
    </row>
    <row r="148" spans="1:3" x14ac:dyDescent="0.3">
      <c r="A148" t="s">
        <v>874</v>
      </c>
      <c r="B148" t="s">
        <v>5</v>
      </c>
      <c r="C148">
        <v>4</v>
      </c>
    </row>
    <row r="149" spans="1:3" x14ac:dyDescent="0.3">
      <c r="A149" t="s">
        <v>875</v>
      </c>
      <c r="B149" t="s">
        <v>19</v>
      </c>
      <c r="C149">
        <v>4</v>
      </c>
    </row>
    <row r="150" spans="1:3" x14ac:dyDescent="0.3">
      <c r="A150" t="s">
        <v>876</v>
      </c>
      <c r="B150" t="s">
        <v>10</v>
      </c>
      <c r="C150">
        <v>4</v>
      </c>
    </row>
    <row r="151" spans="1:3" x14ac:dyDescent="0.3">
      <c r="A151" t="s">
        <v>877</v>
      </c>
      <c r="B151" t="s">
        <v>266</v>
      </c>
      <c r="C151">
        <v>4</v>
      </c>
    </row>
    <row r="152" spans="1:3" x14ac:dyDescent="0.3">
      <c r="A152" t="s">
        <v>878</v>
      </c>
      <c r="B152" t="s">
        <v>250</v>
      </c>
      <c r="C152">
        <v>4</v>
      </c>
    </row>
    <row r="153" spans="1:3" x14ac:dyDescent="0.3">
      <c r="A153" t="s">
        <v>308</v>
      </c>
      <c r="B153" t="s">
        <v>241</v>
      </c>
      <c r="C153">
        <v>4</v>
      </c>
    </row>
    <row r="154" spans="1:3" x14ac:dyDescent="0.3">
      <c r="A154" t="s">
        <v>125</v>
      </c>
      <c r="B154" t="s">
        <v>123</v>
      </c>
      <c r="C154">
        <v>5</v>
      </c>
    </row>
    <row r="155" spans="1:3" x14ac:dyDescent="0.3">
      <c r="A155" t="s">
        <v>879</v>
      </c>
      <c r="B155" t="s">
        <v>15</v>
      </c>
      <c r="C155">
        <v>5</v>
      </c>
    </row>
    <row r="156" spans="1:3" x14ac:dyDescent="0.3">
      <c r="A156" t="s">
        <v>880</v>
      </c>
      <c r="B156" t="s">
        <v>132</v>
      </c>
      <c r="C156">
        <v>5</v>
      </c>
    </row>
    <row r="157" spans="1:3" x14ac:dyDescent="0.3">
      <c r="A157" t="s">
        <v>213</v>
      </c>
      <c r="B157" t="s">
        <v>787</v>
      </c>
      <c r="C157">
        <v>5</v>
      </c>
    </row>
    <row r="158" spans="1:3" x14ac:dyDescent="0.3">
      <c r="A158" t="s">
        <v>881</v>
      </c>
      <c r="B158" t="s">
        <v>5</v>
      </c>
      <c r="C158">
        <v>5</v>
      </c>
    </row>
    <row r="159" spans="1:3" x14ac:dyDescent="0.3">
      <c r="A159" t="s">
        <v>82</v>
      </c>
      <c r="B159" t="s">
        <v>48</v>
      </c>
      <c r="C159">
        <v>5</v>
      </c>
    </row>
    <row r="160" spans="1:3" x14ac:dyDescent="0.3">
      <c r="A160" t="s">
        <v>302</v>
      </c>
      <c r="B160" t="s">
        <v>19</v>
      </c>
      <c r="C160">
        <v>5</v>
      </c>
    </row>
    <row r="161" spans="1:3" x14ac:dyDescent="0.3">
      <c r="A161" t="s">
        <v>882</v>
      </c>
      <c r="B161" t="s">
        <v>10</v>
      </c>
      <c r="C161">
        <v>5</v>
      </c>
    </row>
    <row r="162" spans="1:3" x14ac:dyDescent="0.3">
      <c r="A162" t="s">
        <v>265</v>
      </c>
      <c r="B162" t="s">
        <v>266</v>
      </c>
      <c r="C162">
        <v>5</v>
      </c>
    </row>
    <row r="163" spans="1:3" x14ac:dyDescent="0.3">
      <c r="A163" t="s">
        <v>883</v>
      </c>
      <c r="B163" t="s">
        <v>250</v>
      </c>
      <c r="C163">
        <v>5</v>
      </c>
    </row>
    <row r="164" spans="1:3" x14ac:dyDescent="0.3">
      <c r="A164" t="s">
        <v>884</v>
      </c>
      <c r="B164" t="s">
        <v>766</v>
      </c>
      <c r="C164">
        <v>5</v>
      </c>
    </row>
    <row r="165" spans="1:3" x14ac:dyDescent="0.3">
      <c r="A165" t="s">
        <v>219</v>
      </c>
      <c r="B165" t="s">
        <v>123</v>
      </c>
      <c r="C165">
        <v>5</v>
      </c>
    </row>
    <row r="166" spans="1:3" x14ac:dyDescent="0.3">
      <c r="A166" t="s">
        <v>885</v>
      </c>
      <c r="B166" t="s">
        <v>15</v>
      </c>
      <c r="C166">
        <v>5</v>
      </c>
    </row>
    <row r="167" spans="1:3" x14ac:dyDescent="0.3">
      <c r="A167" t="s">
        <v>175</v>
      </c>
      <c r="B167" t="s">
        <v>132</v>
      </c>
      <c r="C167">
        <v>5</v>
      </c>
    </row>
    <row r="168" spans="1:3" x14ac:dyDescent="0.3">
      <c r="A168" t="s">
        <v>886</v>
      </c>
      <c r="B168" t="s">
        <v>787</v>
      </c>
      <c r="C168">
        <v>5</v>
      </c>
    </row>
    <row r="169" spans="1:3" x14ac:dyDescent="0.3">
      <c r="A169" t="s">
        <v>843</v>
      </c>
      <c r="B169" t="s">
        <v>5</v>
      </c>
      <c r="C169">
        <v>5</v>
      </c>
    </row>
    <row r="170" spans="1:3" x14ac:dyDescent="0.3">
      <c r="A170" t="s">
        <v>887</v>
      </c>
      <c r="B170" t="s">
        <v>48</v>
      </c>
      <c r="C170">
        <v>5</v>
      </c>
    </row>
    <row r="171" spans="1:3" x14ac:dyDescent="0.3">
      <c r="A171" t="s">
        <v>888</v>
      </c>
      <c r="B171" t="s">
        <v>19</v>
      </c>
      <c r="C171">
        <v>5</v>
      </c>
    </row>
    <row r="172" spans="1:3" x14ac:dyDescent="0.3">
      <c r="A172" t="s">
        <v>248</v>
      </c>
      <c r="B172" t="s">
        <v>10</v>
      </c>
      <c r="C172">
        <v>5</v>
      </c>
    </row>
    <row r="173" spans="1:3" x14ac:dyDescent="0.3">
      <c r="A173" t="s">
        <v>889</v>
      </c>
      <c r="B173" t="s">
        <v>266</v>
      </c>
      <c r="C173">
        <v>5</v>
      </c>
    </row>
    <row r="174" spans="1:3" x14ac:dyDescent="0.3">
      <c r="A174" t="s">
        <v>890</v>
      </c>
      <c r="B174" t="s">
        <v>250</v>
      </c>
      <c r="C174">
        <v>5</v>
      </c>
    </row>
    <row r="175" spans="1:3" x14ac:dyDescent="0.3">
      <c r="A175" t="s">
        <v>891</v>
      </c>
      <c r="B175" t="s">
        <v>766</v>
      </c>
      <c r="C175">
        <v>5</v>
      </c>
    </row>
    <row r="176" spans="1:3" x14ac:dyDescent="0.3">
      <c r="A176" t="s">
        <v>777</v>
      </c>
      <c r="B176" t="s">
        <v>123</v>
      </c>
      <c r="C176">
        <v>5</v>
      </c>
    </row>
    <row r="177" spans="1:3" x14ac:dyDescent="0.3">
      <c r="A177" t="s">
        <v>892</v>
      </c>
      <c r="B177" t="s">
        <v>15</v>
      </c>
      <c r="C177">
        <v>5</v>
      </c>
    </row>
    <row r="178" spans="1:3" x14ac:dyDescent="0.3">
      <c r="A178" t="s">
        <v>893</v>
      </c>
      <c r="B178" t="s">
        <v>132</v>
      </c>
      <c r="C178">
        <v>5</v>
      </c>
    </row>
    <row r="179" spans="1:3" x14ac:dyDescent="0.3">
      <c r="A179" t="s">
        <v>894</v>
      </c>
      <c r="B179" t="s">
        <v>787</v>
      </c>
      <c r="C179">
        <v>5</v>
      </c>
    </row>
    <row r="180" spans="1:3" x14ac:dyDescent="0.3">
      <c r="A180" t="s">
        <v>895</v>
      </c>
      <c r="B180" t="s">
        <v>5</v>
      </c>
      <c r="C180">
        <v>5</v>
      </c>
    </row>
    <row r="181" spans="1:3" x14ac:dyDescent="0.3">
      <c r="A181" t="s">
        <v>896</v>
      </c>
      <c r="B181" t="s">
        <v>48</v>
      </c>
      <c r="C181">
        <v>5</v>
      </c>
    </row>
    <row r="182" spans="1:3" x14ac:dyDescent="0.3">
      <c r="A182" t="s">
        <v>897</v>
      </c>
      <c r="B182" t="s">
        <v>19</v>
      </c>
      <c r="C182">
        <v>5</v>
      </c>
    </row>
    <row r="183" spans="1:3" x14ac:dyDescent="0.3">
      <c r="A183" t="s">
        <v>898</v>
      </c>
      <c r="B183" t="s">
        <v>10</v>
      </c>
      <c r="C183">
        <v>5</v>
      </c>
    </row>
    <row r="184" spans="1:3" x14ac:dyDescent="0.3">
      <c r="A184" t="s">
        <v>899</v>
      </c>
      <c r="B184" t="s">
        <v>266</v>
      </c>
      <c r="C184">
        <v>5</v>
      </c>
    </row>
    <row r="185" spans="1:3" x14ac:dyDescent="0.3">
      <c r="A185" t="s">
        <v>900</v>
      </c>
      <c r="B185" t="s">
        <v>250</v>
      </c>
      <c r="C185">
        <v>5</v>
      </c>
    </row>
    <row r="186" spans="1:3" x14ac:dyDescent="0.3">
      <c r="A186" t="s">
        <v>901</v>
      </c>
      <c r="B186" t="s">
        <v>766</v>
      </c>
      <c r="C186">
        <v>5</v>
      </c>
    </row>
    <row r="187" spans="1:3" x14ac:dyDescent="0.3">
      <c r="A187" t="s">
        <v>783</v>
      </c>
      <c r="B187" t="s">
        <v>123</v>
      </c>
      <c r="C187">
        <v>5</v>
      </c>
    </row>
    <row r="188" spans="1:3" x14ac:dyDescent="0.3">
      <c r="A188" t="s">
        <v>902</v>
      </c>
      <c r="B188" t="s">
        <v>15</v>
      </c>
      <c r="C188">
        <v>5</v>
      </c>
    </row>
    <row r="189" spans="1:3" x14ac:dyDescent="0.3">
      <c r="A189" t="s">
        <v>903</v>
      </c>
      <c r="B189" t="s">
        <v>132</v>
      </c>
      <c r="C189">
        <v>5</v>
      </c>
    </row>
    <row r="190" spans="1:3" x14ac:dyDescent="0.3">
      <c r="A190" t="s">
        <v>904</v>
      </c>
      <c r="B190" t="s">
        <v>787</v>
      </c>
      <c r="C190">
        <v>5</v>
      </c>
    </row>
    <row r="191" spans="1:3" x14ac:dyDescent="0.3">
      <c r="A191" t="s">
        <v>905</v>
      </c>
      <c r="B191" t="s">
        <v>5</v>
      </c>
      <c r="C191">
        <v>5</v>
      </c>
    </row>
    <row r="192" spans="1:3" x14ac:dyDescent="0.3">
      <c r="A192" t="s">
        <v>906</v>
      </c>
      <c r="B192" t="s">
        <v>48</v>
      </c>
      <c r="C192">
        <v>5</v>
      </c>
    </row>
    <row r="193" spans="1:3" x14ac:dyDescent="0.3">
      <c r="A193" t="s">
        <v>907</v>
      </c>
      <c r="B193" t="s">
        <v>19</v>
      </c>
      <c r="C193">
        <v>5</v>
      </c>
    </row>
    <row r="194" spans="1:3" x14ac:dyDescent="0.3">
      <c r="A194" t="s">
        <v>908</v>
      </c>
      <c r="B194" t="s">
        <v>10</v>
      </c>
      <c r="C194">
        <v>5</v>
      </c>
    </row>
    <row r="195" spans="1:3" x14ac:dyDescent="0.3">
      <c r="A195" t="s">
        <v>909</v>
      </c>
      <c r="B195" t="s">
        <v>266</v>
      </c>
      <c r="C195">
        <v>5</v>
      </c>
    </row>
    <row r="196" spans="1:3" x14ac:dyDescent="0.3">
      <c r="A196" t="s">
        <v>910</v>
      </c>
      <c r="B196" t="s">
        <v>250</v>
      </c>
      <c r="C196">
        <v>5</v>
      </c>
    </row>
    <row r="197" spans="1:3" x14ac:dyDescent="0.3">
      <c r="A197" t="s">
        <v>257</v>
      </c>
      <c r="B197" t="s">
        <v>766</v>
      </c>
      <c r="C197">
        <v>5</v>
      </c>
    </row>
    <row r="198" spans="1:3" x14ac:dyDescent="0.3">
      <c r="A198" t="s">
        <v>199</v>
      </c>
      <c r="B198" t="s">
        <v>123</v>
      </c>
      <c r="C198">
        <v>6</v>
      </c>
    </row>
    <row r="199" spans="1:3" x14ac:dyDescent="0.3">
      <c r="A199" t="s">
        <v>911</v>
      </c>
      <c r="B199" t="s">
        <v>15</v>
      </c>
      <c r="C199">
        <v>6</v>
      </c>
    </row>
    <row r="200" spans="1:3" x14ac:dyDescent="0.3">
      <c r="A200" t="s">
        <v>176</v>
      </c>
      <c r="B200" t="s">
        <v>132</v>
      </c>
      <c r="C200">
        <v>6</v>
      </c>
    </row>
    <row r="201" spans="1:3" x14ac:dyDescent="0.3">
      <c r="A201" t="s">
        <v>152</v>
      </c>
      <c r="B201" t="s">
        <v>787</v>
      </c>
      <c r="C201">
        <v>6</v>
      </c>
    </row>
    <row r="202" spans="1:3" x14ac:dyDescent="0.3">
      <c r="A202" t="s">
        <v>912</v>
      </c>
      <c r="B202" t="s">
        <v>5</v>
      </c>
      <c r="C202">
        <v>6</v>
      </c>
    </row>
    <row r="203" spans="1:3" x14ac:dyDescent="0.3">
      <c r="A203" t="s">
        <v>81</v>
      </c>
      <c r="B203" t="s">
        <v>48</v>
      </c>
      <c r="C203">
        <v>6</v>
      </c>
    </row>
    <row r="204" spans="1:3" x14ac:dyDescent="0.3">
      <c r="A204" t="s">
        <v>913</v>
      </c>
      <c r="B204" t="s">
        <v>19</v>
      </c>
      <c r="C204">
        <v>6</v>
      </c>
    </row>
    <row r="205" spans="1:3" x14ac:dyDescent="0.3">
      <c r="A205" t="s">
        <v>914</v>
      </c>
      <c r="B205" t="s">
        <v>10</v>
      </c>
      <c r="C205">
        <v>6</v>
      </c>
    </row>
    <row r="206" spans="1:3" x14ac:dyDescent="0.3">
      <c r="A206" t="s">
        <v>296</v>
      </c>
      <c r="B206" t="s">
        <v>266</v>
      </c>
      <c r="C206">
        <v>6</v>
      </c>
    </row>
    <row r="207" spans="1:3" x14ac:dyDescent="0.3">
      <c r="A207" t="s">
        <v>915</v>
      </c>
      <c r="B207" t="s">
        <v>250</v>
      </c>
      <c r="C207">
        <v>6</v>
      </c>
    </row>
    <row r="208" spans="1:3" x14ac:dyDescent="0.3">
      <c r="A208" t="s">
        <v>327</v>
      </c>
      <c r="B208" t="s">
        <v>241</v>
      </c>
      <c r="C208">
        <v>6</v>
      </c>
    </row>
    <row r="209" spans="1:3" x14ac:dyDescent="0.3">
      <c r="A209" t="s">
        <v>916</v>
      </c>
      <c r="B209" t="s">
        <v>766</v>
      </c>
      <c r="C209">
        <v>6</v>
      </c>
    </row>
    <row r="210" spans="1:3" x14ac:dyDescent="0.3">
      <c r="A210" t="s">
        <v>773</v>
      </c>
      <c r="B210" t="s">
        <v>123</v>
      </c>
      <c r="C210">
        <v>6</v>
      </c>
    </row>
    <row r="211" spans="1:3" x14ac:dyDescent="0.3">
      <c r="A211" t="s">
        <v>917</v>
      </c>
      <c r="B211" t="s">
        <v>15</v>
      </c>
      <c r="C211">
        <v>6</v>
      </c>
    </row>
    <row r="212" spans="1:3" x14ac:dyDescent="0.3">
      <c r="A212" t="s">
        <v>918</v>
      </c>
      <c r="B212" t="s">
        <v>132</v>
      </c>
      <c r="C212">
        <v>6</v>
      </c>
    </row>
    <row r="213" spans="1:3" x14ac:dyDescent="0.3">
      <c r="A213" t="s">
        <v>919</v>
      </c>
      <c r="B213" t="s">
        <v>787</v>
      </c>
      <c r="C213">
        <v>6</v>
      </c>
    </row>
    <row r="214" spans="1:3" x14ac:dyDescent="0.3">
      <c r="A214" t="s">
        <v>920</v>
      </c>
      <c r="B214" t="s">
        <v>5</v>
      </c>
      <c r="C214">
        <v>6</v>
      </c>
    </row>
    <row r="215" spans="1:3" x14ac:dyDescent="0.3">
      <c r="A215" t="s">
        <v>921</v>
      </c>
      <c r="B215" t="s">
        <v>48</v>
      </c>
      <c r="C215">
        <v>6</v>
      </c>
    </row>
    <row r="216" spans="1:3" x14ac:dyDescent="0.3">
      <c r="A216" t="s">
        <v>922</v>
      </c>
      <c r="B216" t="s">
        <v>19</v>
      </c>
      <c r="C216">
        <v>6</v>
      </c>
    </row>
    <row r="217" spans="1:3" x14ac:dyDescent="0.3">
      <c r="A217" t="s">
        <v>923</v>
      </c>
      <c r="B217" t="s">
        <v>10</v>
      </c>
      <c r="C217">
        <v>6</v>
      </c>
    </row>
    <row r="218" spans="1:3" x14ac:dyDescent="0.3">
      <c r="A218" t="s">
        <v>924</v>
      </c>
      <c r="B218" t="s">
        <v>266</v>
      </c>
      <c r="C218">
        <v>6</v>
      </c>
    </row>
    <row r="219" spans="1:3" x14ac:dyDescent="0.3">
      <c r="A219" t="s">
        <v>925</v>
      </c>
      <c r="B219" t="s">
        <v>250</v>
      </c>
      <c r="C219">
        <v>6</v>
      </c>
    </row>
    <row r="220" spans="1:3" x14ac:dyDescent="0.3">
      <c r="A220" t="s">
        <v>244</v>
      </c>
      <c r="B220" t="s">
        <v>241</v>
      </c>
      <c r="C220">
        <v>6</v>
      </c>
    </row>
    <row r="221" spans="1:3" x14ac:dyDescent="0.3">
      <c r="A221" t="s">
        <v>926</v>
      </c>
      <c r="B221" t="s">
        <v>766</v>
      </c>
      <c r="C221">
        <v>6</v>
      </c>
    </row>
    <row r="222" spans="1:3" x14ac:dyDescent="0.3">
      <c r="A222" t="s">
        <v>778</v>
      </c>
      <c r="B222" t="s">
        <v>123</v>
      </c>
      <c r="C222">
        <v>6</v>
      </c>
    </row>
    <row r="223" spans="1:3" x14ac:dyDescent="0.3">
      <c r="A223" t="s">
        <v>927</v>
      </c>
      <c r="B223" t="s">
        <v>15</v>
      </c>
      <c r="C223">
        <v>6</v>
      </c>
    </row>
    <row r="224" spans="1:3" x14ac:dyDescent="0.3">
      <c r="A224" t="s">
        <v>928</v>
      </c>
      <c r="B224" t="s">
        <v>132</v>
      </c>
      <c r="C224">
        <v>6</v>
      </c>
    </row>
    <row r="225" spans="1:3" x14ac:dyDescent="0.3">
      <c r="A225" t="s">
        <v>929</v>
      </c>
      <c r="B225" t="s">
        <v>787</v>
      </c>
      <c r="C225">
        <v>6</v>
      </c>
    </row>
    <row r="226" spans="1:3" x14ac:dyDescent="0.3">
      <c r="A226" t="s">
        <v>930</v>
      </c>
      <c r="B226" t="s">
        <v>5</v>
      </c>
      <c r="C226">
        <v>6</v>
      </c>
    </row>
    <row r="227" spans="1:3" x14ac:dyDescent="0.3">
      <c r="A227" t="s">
        <v>109</v>
      </c>
      <c r="B227" t="s">
        <v>48</v>
      </c>
      <c r="C227">
        <v>6</v>
      </c>
    </row>
    <row r="228" spans="1:3" x14ac:dyDescent="0.3">
      <c r="A228" t="s">
        <v>931</v>
      </c>
      <c r="B228" t="s">
        <v>19</v>
      </c>
      <c r="C228">
        <v>6</v>
      </c>
    </row>
    <row r="229" spans="1:3" x14ac:dyDescent="0.3">
      <c r="A229" t="s">
        <v>932</v>
      </c>
      <c r="B229" t="s">
        <v>10</v>
      </c>
      <c r="C229">
        <v>6</v>
      </c>
    </row>
    <row r="230" spans="1:3" x14ac:dyDescent="0.3">
      <c r="A230" t="s">
        <v>933</v>
      </c>
      <c r="B230" t="s">
        <v>266</v>
      </c>
      <c r="C230">
        <v>6</v>
      </c>
    </row>
    <row r="231" spans="1:3" x14ac:dyDescent="0.3">
      <c r="A231" t="s">
        <v>934</v>
      </c>
      <c r="B231" t="s">
        <v>250</v>
      </c>
      <c r="C231">
        <v>6</v>
      </c>
    </row>
    <row r="232" spans="1:3" x14ac:dyDescent="0.3">
      <c r="A232" t="s">
        <v>935</v>
      </c>
      <c r="B232" t="s">
        <v>241</v>
      </c>
      <c r="C232">
        <v>6</v>
      </c>
    </row>
    <row r="233" spans="1:3" x14ac:dyDescent="0.3">
      <c r="A233" t="s">
        <v>493</v>
      </c>
      <c r="B233" t="s">
        <v>766</v>
      </c>
      <c r="C233">
        <v>6</v>
      </c>
    </row>
    <row r="234" spans="1:3" x14ac:dyDescent="0.3">
      <c r="A234" t="s">
        <v>784</v>
      </c>
      <c r="B234" t="s">
        <v>123</v>
      </c>
      <c r="C234">
        <v>6</v>
      </c>
    </row>
    <row r="235" spans="1:3" x14ac:dyDescent="0.3">
      <c r="A235" t="s">
        <v>936</v>
      </c>
      <c r="B235" t="s">
        <v>15</v>
      </c>
      <c r="C235">
        <v>6</v>
      </c>
    </row>
    <row r="236" spans="1:3" x14ac:dyDescent="0.3">
      <c r="A236" t="s">
        <v>937</v>
      </c>
      <c r="B236" t="s">
        <v>132</v>
      </c>
      <c r="C236">
        <v>6</v>
      </c>
    </row>
    <row r="237" spans="1:3" x14ac:dyDescent="0.3">
      <c r="A237" t="s">
        <v>938</v>
      </c>
      <c r="B237" t="s">
        <v>787</v>
      </c>
      <c r="C237">
        <v>6</v>
      </c>
    </row>
    <row r="238" spans="1:3" x14ac:dyDescent="0.3">
      <c r="A238" t="s">
        <v>939</v>
      </c>
      <c r="B238" t="s">
        <v>5</v>
      </c>
      <c r="C238">
        <v>6</v>
      </c>
    </row>
    <row r="239" spans="1:3" x14ac:dyDescent="0.3">
      <c r="A239" t="s">
        <v>940</v>
      </c>
      <c r="B239" t="s">
        <v>48</v>
      </c>
      <c r="C239">
        <v>6</v>
      </c>
    </row>
    <row r="240" spans="1:3" x14ac:dyDescent="0.3">
      <c r="A240" t="s">
        <v>941</v>
      </c>
      <c r="B240" t="s">
        <v>19</v>
      </c>
      <c r="C240">
        <v>6</v>
      </c>
    </row>
    <row r="241" spans="1:3" x14ac:dyDescent="0.3">
      <c r="A241" t="s">
        <v>942</v>
      </c>
      <c r="B241" t="s">
        <v>10</v>
      </c>
      <c r="C241">
        <v>6</v>
      </c>
    </row>
    <row r="242" spans="1:3" x14ac:dyDescent="0.3">
      <c r="A242" t="s">
        <v>943</v>
      </c>
      <c r="B242" t="s">
        <v>266</v>
      </c>
      <c r="C242">
        <v>6</v>
      </c>
    </row>
    <row r="243" spans="1:3" x14ac:dyDescent="0.3">
      <c r="A243" t="s">
        <v>944</v>
      </c>
      <c r="B243" t="s">
        <v>250</v>
      </c>
      <c r="C243">
        <v>6</v>
      </c>
    </row>
    <row r="244" spans="1:3" x14ac:dyDescent="0.3">
      <c r="A244" t="s">
        <v>945</v>
      </c>
      <c r="B244" t="s">
        <v>241</v>
      </c>
      <c r="C244">
        <v>6</v>
      </c>
    </row>
    <row r="245" spans="1:3" x14ac:dyDescent="0.3">
      <c r="A245" t="s">
        <v>946</v>
      </c>
      <c r="B245" t="s">
        <v>766</v>
      </c>
      <c r="C245">
        <v>6</v>
      </c>
    </row>
    <row r="246" spans="1:3" x14ac:dyDescent="0.3">
      <c r="A246" t="s">
        <v>130</v>
      </c>
      <c r="B246" t="s">
        <v>123</v>
      </c>
      <c r="C246">
        <v>7</v>
      </c>
    </row>
    <row r="247" spans="1:3" x14ac:dyDescent="0.3">
      <c r="A247" t="s">
        <v>947</v>
      </c>
      <c r="B247" t="s">
        <v>15</v>
      </c>
      <c r="C247">
        <v>7</v>
      </c>
    </row>
    <row r="248" spans="1:3" x14ac:dyDescent="0.3">
      <c r="A248" t="s">
        <v>948</v>
      </c>
      <c r="B248" t="s">
        <v>132</v>
      </c>
      <c r="C248">
        <v>7</v>
      </c>
    </row>
    <row r="249" spans="1:3" x14ac:dyDescent="0.3">
      <c r="A249" t="s">
        <v>197</v>
      </c>
      <c r="B249" t="s">
        <v>787</v>
      </c>
      <c r="C249">
        <v>7</v>
      </c>
    </row>
    <row r="250" spans="1:3" x14ac:dyDescent="0.3">
      <c r="A250" t="s">
        <v>949</v>
      </c>
      <c r="B250" t="s">
        <v>5</v>
      </c>
      <c r="C250">
        <v>7</v>
      </c>
    </row>
    <row r="251" spans="1:3" x14ac:dyDescent="0.3">
      <c r="A251" t="s">
        <v>950</v>
      </c>
      <c r="B251" t="s">
        <v>48</v>
      </c>
      <c r="C251">
        <v>7</v>
      </c>
    </row>
    <row r="252" spans="1:3" x14ac:dyDescent="0.3">
      <c r="A252" t="s">
        <v>951</v>
      </c>
      <c r="B252" t="s">
        <v>19</v>
      </c>
      <c r="C252">
        <v>7</v>
      </c>
    </row>
    <row r="253" spans="1:3" x14ac:dyDescent="0.3">
      <c r="A253" t="s">
        <v>229</v>
      </c>
      <c r="B253" t="s">
        <v>10</v>
      </c>
      <c r="C253">
        <v>7</v>
      </c>
    </row>
    <row r="254" spans="1:3" x14ac:dyDescent="0.3">
      <c r="A254" t="s">
        <v>297</v>
      </c>
      <c r="B254" t="s">
        <v>266</v>
      </c>
      <c r="C254">
        <v>7</v>
      </c>
    </row>
    <row r="255" spans="1:3" x14ac:dyDescent="0.3">
      <c r="A255" t="s">
        <v>952</v>
      </c>
      <c r="B255" t="s">
        <v>250</v>
      </c>
      <c r="C255">
        <v>7</v>
      </c>
    </row>
    <row r="256" spans="1:3" x14ac:dyDescent="0.3">
      <c r="A256" t="s">
        <v>953</v>
      </c>
      <c r="B256" t="s">
        <v>241</v>
      </c>
      <c r="C256">
        <v>7</v>
      </c>
    </row>
    <row r="257" spans="1:3" x14ac:dyDescent="0.3">
      <c r="A257" t="s">
        <v>954</v>
      </c>
      <c r="B257" t="s">
        <v>766</v>
      </c>
      <c r="C257">
        <v>7</v>
      </c>
    </row>
    <row r="258" spans="1:3" x14ac:dyDescent="0.3">
      <c r="A258" t="s">
        <v>774</v>
      </c>
      <c r="B258" t="s">
        <v>123</v>
      </c>
      <c r="C258">
        <v>7</v>
      </c>
    </row>
    <row r="259" spans="1:3" x14ac:dyDescent="0.3">
      <c r="A259" t="s">
        <v>955</v>
      </c>
      <c r="B259" t="s">
        <v>15</v>
      </c>
      <c r="C259">
        <v>7</v>
      </c>
    </row>
    <row r="260" spans="1:3" x14ac:dyDescent="0.3">
      <c r="A260" t="s">
        <v>956</v>
      </c>
      <c r="B260" t="s">
        <v>132</v>
      </c>
      <c r="C260">
        <v>7</v>
      </c>
    </row>
    <row r="261" spans="1:3" x14ac:dyDescent="0.3">
      <c r="A261" t="s">
        <v>957</v>
      </c>
      <c r="B261" t="s">
        <v>787</v>
      </c>
      <c r="C261">
        <v>7</v>
      </c>
    </row>
    <row r="262" spans="1:3" x14ac:dyDescent="0.3">
      <c r="A262" t="s">
        <v>958</v>
      </c>
      <c r="B262" t="s">
        <v>5</v>
      </c>
      <c r="C262">
        <v>7</v>
      </c>
    </row>
    <row r="263" spans="1:3" x14ac:dyDescent="0.3">
      <c r="A263" t="s">
        <v>959</v>
      </c>
      <c r="B263" t="s">
        <v>48</v>
      </c>
      <c r="C263">
        <v>7</v>
      </c>
    </row>
    <row r="264" spans="1:3" x14ac:dyDescent="0.3">
      <c r="A264" t="s">
        <v>960</v>
      </c>
      <c r="B264" t="s">
        <v>19</v>
      </c>
      <c r="C264">
        <v>7</v>
      </c>
    </row>
    <row r="265" spans="1:3" x14ac:dyDescent="0.3">
      <c r="A265" t="s">
        <v>961</v>
      </c>
      <c r="B265" t="s">
        <v>10</v>
      </c>
      <c r="C265">
        <v>7</v>
      </c>
    </row>
    <row r="266" spans="1:3" x14ac:dyDescent="0.3">
      <c r="A266" t="s">
        <v>962</v>
      </c>
      <c r="B266" t="s">
        <v>266</v>
      </c>
      <c r="C266">
        <v>7</v>
      </c>
    </row>
    <row r="267" spans="1:3" x14ac:dyDescent="0.3">
      <c r="A267" t="s">
        <v>963</v>
      </c>
      <c r="B267" t="s">
        <v>250</v>
      </c>
      <c r="C267">
        <v>7</v>
      </c>
    </row>
    <row r="268" spans="1:3" x14ac:dyDescent="0.3">
      <c r="A268" t="s">
        <v>964</v>
      </c>
      <c r="B268" t="s">
        <v>241</v>
      </c>
      <c r="C268">
        <v>7</v>
      </c>
    </row>
    <row r="269" spans="1:3" x14ac:dyDescent="0.3">
      <c r="A269" t="s">
        <v>965</v>
      </c>
      <c r="B269" t="s">
        <v>766</v>
      </c>
      <c r="C269">
        <v>7</v>
      </c>
    </row>
    <row r="270" spans="1:3" x14ac:dyDescent="0.3">
      <c r="A270" t="s">
        <v>779</v>
      </c>
      <c r="B270" t="s">
        <v>123</v>
      </c>
      <c r="C270">
        <v>7</v>
      </c>
    </row>
    <row r="271" spans="1:3" x14ac:dyDescent="0.3">
      <c r="A271" t="s">
        <v>966</v>
      </c>
      <c r="B271" t="s">
        <v>15</v>
      </c>
      <c r="C271">
        <v>7</v>
      </c>
    </row>
    <row r="272" spans="1:3" x14ac:dyDescent="0.3">
      <c r="A272" t="s">
        <v>967</v>
      </c>
      <c r="B272" t="s">
        <v>132</v>
      </c>
      <c r="C272">
        <v>7</v>
      </c>
    </row>
    <row r="273" spans="1:3" x14ac:dyDescent="0.3">
      <c r="A273" t="s">
        <v>968</v>
      </c>
      <c r="B273" t="s">
        <v>787</v>
      </c>
      <c r="C273">
        <v>7</v>
      </c>
    </row>
    <row r="274" spans="1:3" x14ac:dyDescent="0.3">
      <c r="A274" t="s">
        <v>969</v>
      </c>
      <c r="B274" t="s">
        <v>5</v>
      </c>
      <c r="C274">
        <v>7</v>
      </c>
    </row>
    <row r="275" spans="1:3" x14ac:dyDescent="0.3">
      <c r="A275" t="s">
        <v>970</v>
      </c>
      <c r="B275" t="s">
        <v>48</v>
      </c>
      <c r="C275">
        <v>7</v>
      </c>
    </row>
    <row r="276" spans="1:3" x14ac:dyDescent="0.3">
      <c r="A276" t="s">
        <v>971</v>
      </c>
      <c r="B276" t="s">
        <v>19</v>
      </c>
      <c r="C276">
        <v>7</v>
      </c>
    </row>
    <row r="277" spans="1:3" x14ac:dyDescent="0.3">
      <c r="A277" t="s">
        <v>972</v>
      </c>
      <c r="B277" t="s">
        <v>10</v>
      </c>
      <c r="C277">
        <v>7</v>
      </c>
    </row>
    <row r="278" spans="1:3" x14ac:dyDescent="0.3">
      <c r="A278" t="s">
        <v>973</v>
      </c>
      <c r="B278" t="s">
        <v>266</v>
      </c>
      <c r="C278">
        <v>7</v>
      </c>
    </row>
    <row r="279" spans="1:3" x14ac:dyDescent="0.3">
      <c r="A279" t="s">
        <v>974</v>
      </c>
      <c r="B279" t="s">
        <v>250</v>
      </c>
      <c r="C279">
        <v>7</v>
      </c>
    </row>
    <row r="280" spans="1:3" x14ac:dyDescent="0.3">
      <c r="A280" t="s">
        <v>975</v>
      </c>
      <c r="B280" t="s">
        <v>241</v>
      </c>
      <c r="C280">
        <v>7</v>
      </c>
    </row>
    <row r="281" spans="1:3" x14ac:dyDescent="0.3">
      <c r="A281" t="s">
        <v>976</v>
      </c>
      <c r="B281" t="s">
        <v>766</v>
      </c>
      <c r="C281">
        <v>7</v>
      </c>
    </row>
    <row r="282" spans="1:3" x14ac:dyDescent="0.3">
      <c r="A282" t="s">
        <v>785</v>
      </c>
      <c r="B282" t="s">
        <v>123</v>
      </c>
      <c r="C282">
        <v>7</v>
      </c>
    </row>
    <row r="283" spans="1:3" x14ac:dyDescent="0.3">
      <c r="A283" t="s">
        <v>977</v>
      </c>
      <c r="B283" t="s">
        <v>15</v>
      </c>
      <c r="C283">
        <v>7</v>
      </c>
    </row>
    <row r="284" spans="1:3" x14ac:dyDescent="0.3">
      <c r="A284" t="s">
        <v>978</v>
      </c>
      <c r="B284" t="s">
        <v>132</v>
      </c>
      <c r="C284">
        <v>7</v>
      </c>
    </row>
    <row r="285" spans="1:3" x14ac:dyDescent="0.3">
      <c r="A285" t="s">
        <v>979</v>
      </c>
      <c r="B285" t="s">
        <v>787</v>
      </c>
      <c r="C285">
        <v>7</v>
      </c>
    </row>
    <row r="286" spans="1:3" x14ac:dyDescent="0.3">
      <c r="A286" t="s">
        <v>980</v>
      </c>
      <c r="B286" t="s">
        <v>5</v>
      </c>
      <c r="C286">
        <v>7</v>
      </c>
    </row>
    <row r="287" spans="1:3" x14ac:dyDescent="0.3">
      <c r="A287" t="s">
        <v>981</v>
      </c>
      <c r="B287" t="s">
        <v>48</v>
      </c>
      <c r="C287">
        <v>7</v>
      </c>
    </row>
    <row r="288" spans="1:3" x14ac:dyDescent="0.3">
      <c r="A288" t="s">
        <v>982</v>
      </c>
      <c r="B288" t="s">
        <v>19</v>
      </c>
      <c r="C288">
        <v>7</v>
      </c>
    </row>
    <row r="289" spans="1:3" x14ac:dyDescent="0.3">
      <c r="A289" t="s">
        <v>239</v>
      </c>
      <c r="B289" t="s">
        <v>10</v>
      </c>
      <c r="C289">
        <v>7</v>
      </c>
    </row>
    <row r="290" spans="1:3" x14ac:dyDescent="0.3">
      <c r="A290" t="s">
        <v>983</v>
      </c>
      <c r="B290" t="s">
        <v>266</v>
      </c>
      <c r="C290">
        <v>7</v>
      </c>
    </row>
    <row r="291" spans="1:3" x14ac:dyDescent="0.3">
      <c r="A291" t="s">
        <v>984</v>
      </c>
      <c r="B291" t="s">
        <v>250</v>
      </c>
      <c r="C291">
        <v>7</v>
      </c>
    </row>
    <row r="292" spans="1:3" x14ac:dyDescent="0.3">
      <c r="A292" t="s">
        <v>985</v>
      </c>
      <c r="B292" t="s">
        <v>241</v>
      </c>
      <c r="C292">
        <v>7</v>
      </c>
    </row>
    <row r="293" spans="1:3" x14ac:dyDescent="0.3">
      <c r="A293" t="s">
        <v>184</v>
      </c>
      <c r="B293" t="s">
        <v>766</v>
      </c>
      <c r="C293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8CF9E-364C-4C83-96F8-12FCCB37D433}">
  <dimension ref="A1:F1372"/>
  <sheetViews>
    <sheetView workbookViewId="0">
      <selection activeCell="A887" sqref="A887"/>
    </sheetView>
  </sheetViews>
  <sheetFormatPr defaultRowHeight="14.4" x14ac:dyDescent="0.3"/>
  <cols>
    <col min="1" max="1" width="21.33203125" customWidth="1"/>
    <col min="2" max="2" width="9.33203125" customWidth="1"/>
    <col min="6" max="6" width="8.88671875" style="1"/>
  </cols>
  <sheetData>
    <row r="1" spans="1:6" x14ac:dyDescent="0.3">
      <c r="A1" t="s">
        <v>0</v>
      </c>
      <c r="B1" t="s">
        <v>2</v>
      </c>
      <c r="C1" t="s">
        <v>1</v>
      </c>
      <c r="D1" t="s">
        <v>3</v>
      </c>
      <c r="E1" t="s">
        <v>734</v>
      </c>
      <c r="F1" s="1" t="s">
        <v>738</v>
      </c>
    </row>
    <row r="2" spans="1:6" x14ac:dyDescent="0.3">
      <c r="A2" t="s">
        <v>796</v>
      </c>
      <c r="B2" t="s">
        <v>250</v>
      </c>
      <c r="C2">
        <v>1</v>
      </c>
      <c r="D2">
        <v>2026</v>
      </c>
      <c r="E2" cm="1">
        <f t="array" ref="E2">_xlfn.XLOOKUP(Table2[[#This Row],[college]]&amp;Table2[[#This Row],[division]]&amp;Table2[[#This Row],[year]],
Teams[college]&amp;Teams[division]&amp;Teams[year],
Teams[placing], "NA")</f>
        <v>0</v>
      </c>
      <c r="F2" s="1" cm="1">
        <f t="array" ref="F2">_xlfn.XLOOKUP(Table2[[#This Row],[college]]&amp;Table2[[#This Row],[division]]&amp;Table2[[#This Row],[year]],
Teams[college]&amp;Teams[division]&amp;Teams[year],
Teams[finish], "NA")</f>
        <v>0</v>
      </c>
    </row>
    <row r="3" spans="1:6" x14ac:dyDescent="0.3">
      <c r="A3" t="s">
        <v>942</v>
      </c>
      <c r="B3" t="s">
        <v>10</v>
      </c>
      <c r="C3">
        <v>6</v>
      </c>
      <c r="D3">
        <v>2026</v>
      </c>
      <c r="E3" cm="1">
        <f t="array" ref="E3">_xlfn.XLOOKUP(Table2[[#This Row],[college]]&amp;Table2[[#This Row],[division]]&amp;Table2[[#This Row],[year]],
Teams[college]&amp;Teams[division]&amp;Teams[year],
Teams[placing], "NA")</f>
        <v>0</v>
      </c>
      <c r="F3" s="1" cm="1">
        <f t="array" ref="F3">_xlfn.XLOOKUP(Table2[[#This Row],[college]]&amp;Table2[[#This Row],[division]]&amp;Table2[[#This Row],[year]],
Teams[college]&amp;Teams[division]&amp;Teams[year],
Teams[finish], "NA")</f>
        <v>0</v>
      </c>
    </row>
    <row r="4" spans="1:6" x14ac:dyDescent="0.3">
      <c r="A4" t="s">
        <v>322</v>
      </c>
      <c r="B4" t="s">
        <v>250</v>
      </c>
      <c r="C4">
        <v>7</v>
      </c>
      <c r="D4">
        <v>2025</v>
      </c>
      <c r="E4" cm="1">
        <f t="array" ref="E4">_xlfn.XLOOKUP(Table2[[#This Row],[college]]&amp;Table2[[#This Row],[division]]&amp;Table2[[#This Row],[year]],
Teams[college]&amp;Teams[division]&amp;Teams[year],
Teams[placing], "NA")</f>
        <v>3</v>
      </c>
      <c r="F4" s="1" cm="1">
        <f t="array" ref="F4">_xlfn.XLOOKUP(Table2[[#This Row],[college]]&amp;Table2[[#This Row],[division]]&amp;Table2[[#This Row],[year]],
Teams[college]&amp;Teams[division]&amp;Teams[year],
Teams[finish], "NA")</f>
        <v>0.50208333333333333</v>
      </c>
    </row>
    <row r="5" spans="1:6" x14ac:dyDescent="0.3">
      <c r="A5" t="s">
        <v>322</v>
      </c>
      <c r="B5" t="s">
        <v>123</v>
      </c>
      <c r="C5">
        <v>6</v>
      </c>
      <c r="D5">
        <v>2023</v>
      </c>
      <c r="E5" cm="1">
        <f t="array" ref="E5">_xlfn.XLOOKUP(Table2[[#This Row],[college]]&amp;Table2[[#This Row],[division]]&amp;Table2[[#This Row],[year]],
Teams[college]&amp;Teams[division]&amp;Teams[year],
Teams[placing], "NA")</f>
        <v>1</v>
      </c>
      <c r="F5" s="1" cm="1">
        <f t="array" ref="F5">_xlfn.XLOOKUP(Table2[[#This Row],[college]]&amp;Table2[[#This Row],[division]]&amp;Table2[[#This Row],[year]],
Teams[college]&amp;Teams[division]&amp;Teams[year],
Teams[finish], "NA")</f>
        <v>0.55208333333333337</v>
      </c>
    </row>
    <row r="6" spans="1:6" x14ac:dyDescent="0.3">
      <c r="A6" t="s">
        <v>49</v>
      </c>
      <c r="B6" t="s">
        <v>48</v>
      </c>
      <c r="C6">
        <v>5</v>
      </c>
      <c r="D6">
        <v>2025</v>
      </c>
      <c r="E6" cm="1">
        <f t="array" ref="E6">_xlfn.XLOOKUP(Table2[[#This Row],[college]]&amp;Table2[[#This Row],[division]]&amp;Table2[[#This Row],[year]],
Teams[college]&amp;Teams[division]&amp;Teams[year],
Teams[placing], "NA")</f>
        <v>2</v>
      </c>
      <c r="F6" s="1" cm="1">
        <f t="array" ref="F6">_xlfn.XLOOKUP(Table2[[#This Row],[college]]&amp;Table2[[#This Row],[division]]&amp;Table2[[#This Row],[year]],
Teams[college]&amp;Teams[division]&amp;Teams[year],
Teams[finish], "NA")</f>
        <v>0.43819444444444444</v>
      </c>
    </row>
    <row r="7" spans="1:6" x14ac:dyDescent="0.3">
      <c r="A7" t="s">
        <v>49</v>
      </c>
      <c r="B7" t="s">
        <v>48</v>
      </c>
      <c r="C7">
        <v>3</v>
      </c>
      <c r="D7">
        <v>2024</v>
      </c>
      <c r="E7" cm="1">
        <f t="array" ref="E7">_xlfn.XLOOKUP(Table2[[#This Row],[college]]&amp;Table2[[#This Row],[division]]&amp;Table2[[#This Row],[year]],
Teams[college]&amp;Teams[division]&amp;Teams[year],
Teams[placing], "NA")</f>
        <v>3</v>
      </c>
      <c r="F7" s="1" cm="1">
        <f t="array" ref="F7">_xlfn.XLOOKUP(Table2[[#This Row],[college]]&amp;Table2[[#This Row],[division]]&amp;Table2[[#This Row],[year]],
Teams[college]&amp;Teams[division]&amp;Teams[year],
Teams[finish], "NA")</f>
        <v>0.66111111111111109</v>
      </c>
    </row>
    <row r="8" spans="1:6" x14ac:dyDescent="0.3">
      <c r="A8" t="s">
        <v>49</v>
      </c>
      <c r="B8" t="s">
        <v>48</v>
      </c>
      <c r="C8">
        <v>5</v>
      </c>
      <c r="D8">
        <v>2023</v>
      </c>
      <c r="E8" cm="1">
        <f t="array" ref="E8">_xlfn.XLOOKUP(Table2[[#This Row],[college]]&amp;Table2[[#This Row],[division]]&amp;Table2[[#This Row],[year]],
Teams[college]&amp;Teams[division]&amp;Teams[year],
Teams[placing], "NA")</f>
        <v>8</v>
      </c>
      <c r="F8" s="1" cm="1">
        <f t="array" ref="F8">_xlfn.XLOOKUP(Table2[[#This Row],[college]]&amp;Table2[[#This Row],[division]]&amp;Table2[[#This Row],[year]],
Teams[college]&amp;Teams[division]&amp;Teams[year],
Teams[finish], "NA")</f>
        <v>0.68055555555555558</v>
      </c>
    </row>
    <row r="9" spans="1:6" x14ac:dyDescent="0.3">
      <c r="A9" t="s">
        <v>961</v>
      </c>
      <c r="B9" t="s">
        <v>10</v>
      </c>
      <c r="C9">
        <v>7</v>
      </c>
      <c r="D9">
        <v>2026</v>
      </c>
      <c r="E9" cm="1">
        <f t="array" ref="E9">_xlfn.XLOOKUP(Table2[[#This Row],[college]]&amp;Table2[[#This Row],[division]]&amp;Table2[[#This Row],[year]],
Teams[college]&amp;Teams[division]&amp;Teams[year],
Teams[placing], "NA")</f>
        <v>0</v>
      </c>
      <c r="F9" s="1" cm="1">
        <f t="array" ref="F9">_xlfn.XLOOKUP(Table2[[#This Row],[college]]&amp;Table2[[#This Row],[division]]&amp;Table2[[#This Row],[year]],
Teams[college]&amp;Teams[division]&amp;Teams[year],
Teams[finish], "NA")</f>
        <v>0</v>
      </c>
    </row>
    <row r="10" spans="1:6" x14ac:dyDescent="0.3">
      <c r="A10" t="s">
        <v>860</v>
      </c>
      <c r="B10" t="s">
        <v>10</v>
      </c>
      <c r="C10">
        <v>4</v>
      </c>
      <c r="D10">
        <v>2026</v>
      </c>
      <c r="E10" cm="1">
        <f t="array" ref="E10">_xlfn.XLOOKUP(Table2[[#This Row],[college]]&amp;Table2[[#This Row],[division]]&amp;Table2[[#This Row],[year]],
Teams[college]&amp;Teams[division]&amp;Teams[year],
Teams[placing], "NA")</f>
        <v>0</v>
      </c>
      <c r="F10" s="1" cm="1">
        <f t="array" ref="F10">_xlfn.XLOOKUP(Table2[[#This Row],[college]]&amp;Table2[[#This Row],[division]]&amp;Table2[[#This Row],[year]],
Teams[college]&amp;Teams[division]&amp;Teams[year],
Teams[finish], "NA")</f>
        <v>0</v>
      </c>
    </row>
    <row r="11" spans="1:6" x14ac:dyDescent="0.3">
      <c r="A11" t="s">
        <v>362</v>
      </c>
      <c r="B11" t="s">
        <v>137</v>
      </c>
      <c r="C11">
        <v>7</v>
      </c>
      <c r="D11">
        <v>2024</v>
      </c>
      <c r="E11" cm="1">
        <f t="array" ref="E11">_xlfn.XLOOKUP(Table2[[#This Row],[college]]&amp;Table2[[#This Row],[division]]&amp;Table2[[#This Row],[year]],
Teams[college]&amp;Teams[division]&amp;Teams[year],
Teams[placing], "NA")</f>
        <v>2</v>
      </c>
      <c r="F11" s="1" cm="1">
        <f t="array" ref="F11">_xlfn.XLOOKUP(Table2[[#This Row],[college]]&amp;Table2[[#This Row],[division]]&amp;Table2[[#This Row],[year]],
Teams[college]&amp;Teams[division]&amp;Teams[year],
Teams[finish], "NA")</f>
        <v>0.56736111111111109</v>
      </c>
    </row>
    <row r="12" spans="1:6" x14ac:dyDescent="0.3">
      <c r="A12" t="s">
        <v>710</v>
      </c>
      <c r="B12" t="s">
        <v>123</v>
      </c>
      <c r="C12">
        <v>7</v>
      </c>
      <c r="D12">
        <v>2022</v>
      </c>
      <c r="E12" cm="1">
        <f t="array" ref="E12">_xlfn.XLOOKUP(Table2[[#This Row],[college]]&amp;Table2[[#This Row],[division]]&amp;Table2[[#This Row],[year]],
Teams[college]&amp;Teams[division]&amp;Teams[year],
Teams[placing], "NA")</f>
        <v>3</v>
      </c>
      <c r="F12" s="1" cm="1">
        <f t="array" ref="F12">_xlfn.XLOOKUP(Table2[[#This Row],[college]]&amp;Table2[[#This Row],[division]]&amp;Table2[[#This Row],[year]],
Teams[college]&amp;Teams[division]&amp;Teams[year],
Teams[finish], "NA")</f>
        <v>0.45763888888888893</v>
      </c>
    </row>
    <row r="13" spans="1:6" x14ac:dyDescent="0.3">
      <c r="A13" t="s">
        <v>697</v>
      </c>
      <c r="B13" t="s">
        <v>5</v>
      </c>
      <c r="C13">
        <v>4</v>
      </c>
      <c r="D13">
        <v>2022</v>
      </c>
      <c r="E13" cm="1">
        <f t="array" ref="E13">_xlfn.XLOOKUP(Table2[[#This Row],[college]]&amp;Table2[[#This Row],[division]]&amp;Table2[[#This Row],[year]],
Teams[college]&amp;Teams[division]&amp;Teams[year],
Teams[placing], "NA")</f>
        <v>4</v>
      </c>
      <c r="F13" s="1" cm="1">
        <f t="array" ref="F13">_xlfn.XLOOKUP(Table2[[#This Row],[college]]&amp;Table2[[#This Row],[division]]&amp;Table2[[#This Row],[year]],
Teams[college]&amp;Teams[division]&amp;Teams[year],
Teams[finish], "NA")</f>
        <v>0.55694444444444446</v>
      </c>
    </row>
    <row r="14" spans="1:6" x14ac:dyDescent="0.3">
      <c r="A14" t="s">
        <v>697</v>
      </c>
      <c r="B14" t="s">
        <v>5</v>
      </c>
      <c r="C14">
        <v>5</v>
      </c>
      <c r="D14">
        <v>2023</v>
      </c>
      <c r="E14" t="str" cm="1">
        <f t="array" ref="E14">_xlfn.XLOOKUP(Table2[[#This Row],[college]]&amp;Table2[[#This Row],[division]]&amp;Table2[[#This Row],[year]],
Teams[college]&amp;Teams[division]&amp;Teams[year],
Teams[placing], "NA")</f>
        <v>DNF</v>
      </c>
      <c r="F14" s="1" t="str" cm="1">
        <f t="array" ref="F14">_xlfn.XLOOKUP(Table2[[#This Row],[college]]&amp;Table2[[#This Row],[division]]&amp;Table2[[#This Row],[year]],
Teams[college]&amp;Teams[division]&amp;Teams[year],
Teams[finish], "NA")</f>
        <v>NA</v>
      </c>
    </row>
    <row r="15" spans="1:6" x14ac:dyDescent="0.3">
      <c r="A15" t="s">
        <v>300</v>
      </c>
      <c r="B15" t="s">
        <v>241</v>
      </c>
      <c r="C15">
        <v>6</v>
      </c>
      <c r="D15">
        <v>2025</v>
      </c>
      <c r="E15" cm="1">
        <f t="array" ref="E15">_xlfn.XLOOKUP(Table2[[#This Row],[college]]&amp;Table2[[#This Row],[division]]&amp;Table2[[#This Row],[year]],
Teams[college]&amp;Teams[division]&amp;Teams[year],
Teams[placing], "NA")</f>
        <v>8</v>
      </c>
      <c r="F15" s="1" cm="1">
        <f t="array" ref="F15">_xlfn.XLOOKUP(Table2[[#This Row],[college]]&amp;Table2[[#This Row],[division]]&amp;Table2[[#This Row],[year]],
Teams[college]&amp;Teams[division]&amp;Teams[year],
Teams[finish], "NA")</f>
        <v>0.67152777777777772</v>
      </c>
    </row>
    <row r="16" spans="1:6" x14ac:dyDescent="0.3">
      <c r="A16" t="s">
        <v>300</v>
      </c>
      <c r="B16" t="s">
        <v>241</v>
      </c>
      <c r="C16">
        <v>7</v>
      </c>
      <c r="D16">
        <v>2024</v>
      </c>
      <c r="E16" t="str" cm="1">
        <f t="array" ref="E16">_xlfn.XLOOKUP(Table2[[#This Row],[college]]&amp;Table2[[#This Row],[division]]&amp;Table2[[#This Row],[year]],
Teams[college]&amp;Teams[division]&amp;Teams[year],
Teams[placing], "NA")</f>
        <v>DNF</v>
      </c>
      <c r="F16" s="1" t="str" cm="1">
        <f t="array" ref="F16">_xlfn.XLOOKUP(Table2[[#This Row],[college]]&amp;Table2[[#This Row],[division]]&amp;Table2[[#This Row],[year]],
Teams[college]&amp;Teams[division]&amp;Teams[year],
Teams[finish], "NA")</f>
        <v>NA</v>
      </c>
    </row>
    <row r="17" spans="1:6" x14ac:dyDescent="0.3">
      <c r="A17" t="s">
        <v>247</v>
      </c>
      <c r="B17" t="s">
        <v>10</v>
      </c>
      <c r="C17">
        <v>4</v>
      </c>
      <c r="D17">
        <v>2025</v>
      </c>
      <c r="E17" t="str" cm="1">
        <f t="array" ref="E17">_xlfn.XLOOKUP(Table2[[#This Row],[college]]&amp;Table2[[#This Row],[division]]&amp;Table2[[#This Row],[year]],
Teams[college]&amp;Teams[division]&amp;Teams[year],
Teams[placing], "NA")</f>
        <v>DNF</v>
      </c>
      <c r="F17" s="1" t="str" cm="1">
        <f t="array" ref="F17">_xlfn.XLOOKUP(Table2[[#This Row],[college]]&amp;Table2[[#This Row],[division]]&amp;Table2[[#This Row],[year]],
Teams[college]&amp;Teams[division]&amp;Teams[year],
Teams[finish], "NA")</f>
        <v>NA</v>
      </c>
    </row>
    <row r="18" spans="1:6" x14ac:dyDescent="0.3">
      <c r="A18" t="s">
        <v>247</v>
      </c>
      <c r="B18" t="s">
        <v>10</v>
      </c>
      <c r="C18">
        <v>6</v>
      </c>
      <c r="D18">
        <v>2024</v>
      </c>
      <c r="E18" t="str" cm="1">
        <f t="array" ref="E18">_xlfn.XLOOKUP(Table2[[#This Row],[college]]&amp;Table2[[#This Row],[division]]&amp;Table2[[#This Row],[year]],
Teams[college]&amp;Teams[division]&amp;Teams[year],
Teams[placing], "NA")</f>
        <v>DNF</v>
      </c>
      <c r="F18" s="1" t="str" cm="1">
        <f t="array" ref="F18">_xlfn.XLOOKUP(Table2[[#This Row],[college]]&amp;Table2[[#This Row],[division]]&amp;Table2[[#This Row],[year]],
Teams[college]&amp;Teams[division]&amp;Teams[year],
Teams[finish], "NA")</f>
        <v>NA</v>
      </c>
    </row>
    <row r="19" spans="1:6" x14ac:dyDescent="0.3">
      <c r="A19" t="s">
        <v>484</v>
      </c>
      <c r="B19" t="s">
        <v>10</v>
      </c>
      <c r="C19">
        <v>4</v>
      </c>
      <c r="D19">
        <v>2024</v>
      </c>
      <c r="E19" cm="1">
        <f t="array" ref="E19">_xlfn.XLOOKUP(Table2[[#This Row],[college]]&amp;Table2[[#This Row],[division]]&amp;Table2[[#This Row],[year]],
Teams[college]&amp;Teams[division]&amp;Teams[year],
Teams[placing], "NA")</f>
        <v>6</v>
      </c>
      <c r="F19" s="1" cm="1">
        <f t="array" ref="F19">_xlfn.XLOOKUP(Table2[[#This Row],[college]]&amp;Table2[[#This Row],[division]]&amp;Table2[[#This Row],[year]],
Teams[college]&amp;Teams[division]&amp;Teams[year],
Teams[finish], "NA")</f>
        <v>0.67291666666666672</v>
      </c>
    </row>
    <row r="20" spans="1:6" x14ac:dyDescent="0.3">
      <c r="A20" t="s">
        <v>877</v>
      </c>
      <c r="B20" t="s">
        <v>266</v>
      </c>
      <c r="C20">
        <v>4</v>
      </c>
      <c r="D20">
        <v>2026</v>
      </c>
      <c r="E20" cm="1">
        <f t="array" ref="E20">_xlfn.XLOOKUP(Table2[[#This Row],[college]]&amp;Table2[[#This Row],[division]]&amp;Table2[[#This Row],[year]],
Teams[college]&amp;Teams[division]&amp;Teams[year],
Teams[placing], "NA")</f>
        <v>0</v>
      </c>
      <c r="F20" s="1" cm="1">
        <f t="array" ref="F20">_xlfn.XLOOKUP(Table2[[#This Row],[college]]&amp;Table2[[#This Row],[division]]&amp;Table2[[#This Row],[year]],
Teams[college]&amp;Teams[division]&amp;Teams[year],
Teams[finish], "NA")</f>
        <v>0</v>
      </c>
    </row>
    <row r="21" spans="1:6" x14ac:dyDescent="0.3">
      <c r="A21" t="s">
        <v>789</v>
      </c>
      <c r="B21" t="s">
        <v>266</v>
      </c>
      <c r="C21">
        <v>1</v>
      </c>
      <c r="D21">
        <v>2026</v>
      </c>
      <c r="E21" cm="1">
        <f t="array" ref="E21">_xlfn.XLOOKUP(Table2[[#This Row],[college]]&amp;Table2[[#This Row],[division]]&amp;Table2[[#This Row],[year]],
Teams[college]&amp;Teams[division]&amp;Teams[year],
Teams[placing], "NA")</f>
        <v>0</v>
      </c>
      <c r="F21" s="1" cm="1">
        <f t="array" ref="F21">_xlfn.XLOOKUP(Table2[[#This Row],[college]]&amp;Table2[[#This Row],[division]]&amp;Table2[[#This Row],[year]],
Teams[college]&amp;Teams[division]&amp;Teams[year],
Teams[finish], "NA")</f>
        <v>0</v>
      </c>
    </row>
    <row r="22" spans="1:6" x14ac:dyDescent="0.3">
      <c r="A22" t="s">
        <v>901</v>
      </c>
      <c r="B22" t="s">
        <v>766</v>
      </c>
      <c r="C22">
        <v>5</v>
      </c>
      <c r="D22">
        <v>2026</v>
      </c>
      <c r="E22" cm="1">
        <f t="array" ref="E22">_xlfn.XLOOKUP(Table2[[#This Row],[college]]&amp;Table2[[#This Row],[division]]&amp;Table2[[#This Row],[year]],
Teams[college]&amp;Teams[division]&amp;Teams[year],
Teams[placing], "NA")</f>
        <v>0</v>
      </c>
      <c r="F22" s="1" cm="1">
        <f t="array" ref="F22">_xlfn.XLOOKUP(Table2[[#This Row],[college]]&amp;Table2[[#This Row],[division]]&amp;Table2[[#This Row],[year]],
Teams[college]&amp;Teams[division]&amp;Teams[year],
Teams[finish], "NA")</f>
        <v>0</v>
      </c>
    </row>
    <row r="23" spans="1:6" x14ac:dyDescent="0.3">
      <c r="A23" t="s">
        <v>596</v>
      </c>
      <c r="B23" t="s">
        <v>10</v>
      </c>
      <c r="C23">
        <v>4</v>
      </c>
      <c r="D23">
        <v>2023</v>
      </c>
      <c r="E23" cm="1">
        <f t="array" ref="E23">_xlfn.XLOOKUP(Table2[[#This Row],[college]]&amp;Table2[[#This Row],[division]]&amp;Table2[[#This Row],[year]],
Teams[college]&amp;Teams[division]&amp;Teams[year],
Teams[placing], "NA")</f>
        <v>3</v>
      </c>
      <c r="F23" s="1" cm="1">
        <f t="array" ref="F23">_xlfn.XLOOKUP(Table2[[#This Row],[college]]&amp;Table2[[#This Row],[division]]&amp;Table2[[#This Row],[year]],
Teams[college]&amp;Teams[division]&amp;Teams[year],
Teams[finish], "NA")</f>
        <v>0.56944444444444442</v>
      </c>
    </row>
    <row r="24" spans="1:6" x14ac:dyDescent="0.3">
      <c r="A24" t="s">
        <v>168</v>
      </c>
      <c r="B24" t="s">
        <v>123</v>
      </c>
      <c r="C24">
        <v>5</v>
      </c>
      <c r="D24">
        <v>2025</v>
      </c>
      <c r="E24" cm="1">
        <f t="array" ref="E24">_xlfn.XLOOKUP(Table2[[#This Row],[college]]&amp;Table2[[#This Row],[division]]&amp;Table2[[#This Row],[year]],
Teams[college]&amp;Teams[division]&amp;Teams[year],
Teams[placing], "NA")</f>
        <v>3</v>
      </c>
      <c r="F24" s="1" cm="1">
        <f t="array" ref="F24">_xlfn.XLOOKUP(Table2[[#This Row],[college]]&amp;Table2[[#This Row],[division]]&amp;Table2[[#This Row],[year]],
Teams[college]&amp;Teams[division]&amp;Teams[year],
Teams[finish], "NA")</f>
        <v>0.44722222222222224</v>
      </c>
    </row>
    <row r="25" spans="1:6" x14ac:dyDescent="0.3">
      <c r="A25" t="s">
        <v>27</v>
      </c>
      <c r="B25" t="s">
        <v>758</v>
      </c>
      <c r="C25">
        <v>6</v>
      </c>
      <c r="D25">
        <v>2025</v>
      </c>
      <c r="E25" t="str" cm="1">
        <f t="array" ref="E25">_xlfn.XLOOKUP(Table2[[#This Row],[college]]&amp;Table2[[#This Row],[division]]&amp;Table2[[#This Row],[year]],
Teams[college]&amp;Teams[division]&amp;Teams[year],
Teams[placing], "NA")</f>
        <v>NA</v>
      </c>
      <c r="F25" s="1" cm="1">
        <f t="array" ref="F25">_xlfn.XLOOKUP(Table2[[#This Row],[college]]&amp;Table2[[#This Row],[division]]&amp;Table2[[#This Row],[year]],
Teams[college]&amp;Teams[division]&amp;Teams[year],
Teams[finish], "NA")</f>
        <v>0.64097222222222228</v>
      </c>
    </row>
    <row r="26" spans="1:6" x14ac:dyDescent="0.3">
      <c r="A26" t="s">
        <v>27</v>
      </c>
      <c r="B26" t="s">
        <v>758</v>
      </c>
      <c r="C26">
        <v>5</v>
      </c>
      <c r="D26">
        <v>2024</v>
      </c>
      <c r="E26" t="str" cm="1">
        <f t="array" ref="E26">_xlfn.XLOOKUP(Table2[[#This Row],[college]]&amp;Table2[[#This Row],[division]]&amp;Table2[[#This Row],[year]],
Teams[college]&amp;Teams[division]&amp;Teams[year],
Teams[placing], "NA")</f>
        <v>DNF</v>
      </c>
      <c r="F26" s="1" t="str" cm="1">
        <f t="array" ref="F26">_xlfn.XLOOKUP(Table2[[#This Row],[college]]&amp;Table2[[#This Row],[division]]&amp;Table2[[#This Row],[year]],
Teams[college]&amp;Teams[division]&amp;Teams[year],
Teams[finish], "NA")</f>
        <v>NA</v>
      </c>
    </row>
    <row r="27" spans="1:6" x14ac:dyDescent="0.3">
      <c r="A27" t="s">
        <v>925</v>
      </c>
      <c r="B27" t="s">
        <v>250</v>
      </c>
      <c r="C27">
        <v>6</v>
      </c>
      <c r="D27">
        <v>2026</v>
      </c>
      <c r="E27" cm="1">
        <f t="array" ref="E27">_xlfn.XLOOKUP(Table2[[#This Row],[college]]&amp;Table2[[#This Row],[division]]&amp;Table2[[#This Row],[year]],
Teams[college]&amp;Teams[division]&amp;Teams[year],
Teams[placing], "NA")</f>
        <v>0</v>
      </c>
      <c r="F27" s="1" cm="1">
        <f t="array" ref="F27">_xlfn.XLOOKUP(Table2[[#This Row],[college]]&amp;Table2[[#This Row],[division]]&amp;Table2[[#This Row],[year]],
Teams[college]&amp;Teams[division]&amp;Teams[year],
Teams[finish], "NA")</f>
        <v>0</v>
      </c>
    </row>
    <row r="28" spans="1:6" x14ac:dyDescent="0.3">
      <c r="A28" t="s">
        <v>922</v>
      </c>
      <c r="B28" t="s">
        <v>19</v>
      </c>
      <c r="C28">
        <v>6</v>
      </c>
      <c r="D28">
        <v>2026</v>
      </c>
      <c r="E28" cm="1">
        <f t="array" ref="E28">_xlfn.XLOOKUP(Table2[[#This Row],[college]]&amp;Table2[[#This Row],[division]]&amp;Table2[[#This Row],[year]],
Teams[college]&amp;Teams[division]&amp;Teams[year],
Teams[placing], "NA")</f>
        <v>0</v>
      </c>
      <c r="F28" s="1" cm="1">
        <f t="array" ref="F28">_xlfn.XLOOKUP(Table2[[#This Row],[college]]&amp;Table2[[#This Row],[division]]&amp;Table2[[#This Row],[year]],
Teams[college]&amp;Teams[division]&amp;Teams[year],
Teams[finish], "NA")</f>
        <v>0</v>
      </c>
    </row>
    <row r="29" spans="1:6" x14ac:dyDescent="0.3">
      <c r="A29" t="s">
        <v>917</v>
      </c>
      <c r="B29" t="s">
        <v>15</v>
      </c>
      <c r="C29">
        <v>6</v>
      </c>
      <c r="D29">
        <v>2026</v>
      </c>
      <c r="E29" cm="1">
        <f t="array" ref="E29">_xlfn.XLOOKUP(Table2[[#This Row],[college]]&amp;Table2[[#This Row],[division]]&amp;Table2[[#This Row],[year]],
Teams[college]&amp;Teams[division]&amp;Teams[year],
Teams[placing], "NA")</f>
        <v>0</v>
      </c>
      <c r="F29" s="1" cm="1">
        <f t="array" ref="F29">_xlfn.XLOOKUP(Table2[[#This Row],[college]]&amp;Table2[[#This Row],[division]]&amp;Table2[[#This Row],[year]],
Teams[college]&amp;Teams[division]&amp;Teams[year],
Teams[finish], "NA")</f>
        <v>0</v>
      </c>
    </row>
    <row r="30" spans="1:6" x14ac:dyDescent="0.3">
      <c r="A30" t="s">
        <v>84</v>
      </c>
      <c r="B30" t="s">
        <v>48</v>
      </c>
      <c r="C30">
        <v>1</v>
      </c>
      <c r="D30">
        <v>2025</v>
      </c>
      <c r="E30" cm="1">
        <f t="array" ref="E30">_xlfn.XLOOKUP(Table2[[#This Row],[college]]&amp;Table2[[#This Row],[division]]&amp;Table2[[#This Row],[year]],
Teams[college]&amp;Teams[division]&amp;Teams[year],
Teams[placing], "NA")</f>
        <v>3</v>
      </c>
      <c r="F30" s="1" cm="1">
        <f t="array" ref="F30">_xlfn.XLOOKUP(Table2[[#This Row],[college]]&amp;Table2[[#This Row],[division]]&amp;Table2[[#This Row],[year]],
Teams[college]&amp;Teams[division]&amp;Teams[year],
Teams[finish], "NA")</f>
        <v>0.54652777777777772</v>
      </c>
    </row>
    <row r="31" spans="1:6" x14ac:dyDescent="0.3">
      <c r="A31" t="s">
        <v>84</v>
      </c>
      <c r="B31" t="s">
        <v>48</v>
      </c>
      <c r="C31">
        <v>5</v>
      </c>
      <c r="D31">
        <v>2024</v>
      </c>
      <c r="E31" cm="1">
        <f t="array" ref="E31">_xlfn.XLOOKUP(Table2[[#This Row],[college]]&amp;Table2[[#This Row],[division]]&amp;Table2[[#This Row],[year]],
Teams[college]&amp;Teams[division]&amp;Teams[year],
Teams[placing], "NA")</f>
        <v>2</v>
      </c>
      <c r="F31" s="1" cm="1">
        <f t="array" ref="F31">_xlfn.XLOOKUP(Table2[[#This Row],[college]]&amp;Table2[[#This Row],[division]]&amp;Table2[[#This Row],[year]],
Teams[college]&amp;Teams[division]&amp;Teams[year],
Teams[finish], "NA")</f>
        <v>0.57361111111111107</v>
      </c>
    </row>
    <row r="32" spans="1:6" x14ac:dyDescent="0.3">
      <c r="A32" t="s">
        <v>619</v>
      </c>
      <c r="B32" t="s">
        <v>132</v>
      </c>
      <c r="C32">
        <v>5</v>
      </c>
      <c r="D32">
        <v>2022</v>
      </c>
      <c r="E32" cm="1">
        <f t="array" ref="E32">_xlfn.XLOOKUP(Table2[[#This Row],[college]]&amp;Table2[[#This Row],[division]]&amp;Table2[[#This Row],[year]],
Teams[college]&amp;Teams[division]&amp;Teams[year],
Teams[placing], "NA")</f>
        <v>7</v>
      </c>
      <c r="F32" s="1" cm="1">
        <f t="array" ref="F32">_xlfn.XLOOKUP(Table2[[#This Row],[college]]&amp;Table2[[#This Row],[division]]&amp;Table2[[#This Row],[year]],
Teams[college]&amp;Teams[division]&amp;Teams[year],
Teams[finish], "NA")</f>
        <v>0.63541666666666663</v>
      </c>
    </row>
    <row r="33" spans="1:6" x14ac:dyDescent="0.3">
      <c r="A33" t="s">
        <v>619</v>
      </c>
      <c r="B33" t="s">
        <v>132</v>
      </c>
      <c r="C33">
        <v>1</v>
      </c>
      <c r="D33">
        <v>2023</v>
      </c>
      <c r="E33" t="str" cm="1">
        <f t="array" ref="E33">_xlfn.XLOOKUP(Table2[[#This Row],[college]]&amp;Table2[[#This Row],[division]]&amp;Table2[[#This Row],[year]],
Teams[college]&amp;Teams[division]&amp;Teams[year],
Teams[placing], "NA")</f>
        <v>DNF</v>
      </c>
      <c r="F33" s="1" t="str" cm="1">
        <f t="array" ref="F33">_xlfn.XLOOKUP(Table2[[#This Row],[college]]&amp;Table2[[#This Row],[division]]&amp;Table2[[#This Row],[year]],
Teams[college]&amp;Teams[division]&amp;Teams[year],
Teams[finish], "NA")</f>
        <v>NA</v>
      </c>
    </row>
    <row r="34" spans="1:6" x14ac:dyDescent="0.3">
      <c r="A34" t="s">
        <v>541</v>
      </c>
      <c r="B34" t="s">
        <v>132</v>
      </c>
      <c r="C34">
        <v>7</v>
      </c>
      <c r="D34">
        <v>2022</v>
      </c>
      <c r="E34" cm="1">
        <f t="array" ref="E34">_xlfn.XLOOKUP(Table2[[#This Row],[college]]&amp;Table2[[#This Row],[division]]&amp;Table2[[#This Row],[year]],
Teams[college]&amp;Teams[division]&amp;Teams[year],
Teams[placing], "NA")</f>
        <v>2</v>
      </c>
      <c r="F34" s="1" cm="1">
        <f t="array" ref="F34">_xlfn.XLOOKUP(Table2[[#This Row],[college]]&amp;Table2[[#This Row],[division]]&amp;Table2[[#This Row],[year]],
Teams[college]&amp;Teams[division]&amp;Teams[year],
Teams[finish], "NA")</f>
        <v>0.45486111111111116</v>
      </c>
    </row>
    <row r="35" spans="1:6" x14ac:dyDescent="0.3">
      <c r="A35" t="s">
        <v>541</v>
      </c>
      <c r="B35" t="s">
        <v>132</v>
      </c>
      <c r="C35">
        <v>7</v>
      </c>
      <c r="D35">
        <v>2023</v>
      </c>
      <c r="E35" cm="1">
        <f t="array" ref="E35">_xlfn.XLOOKUP(Table2[[#This Row],[college]]&amp;Table2[[#This Row],[division]]&amp;Table2[[#This Row],[year]],
Teams[college]&amp;Teams[division]&amp;Teams[year],
Teams[placing], "NA")</f>
        <v>8</v>
      </c>
      <c r="F35" s="1" cm="1">
        <f t="array" ref="F35">_xlfn.XLOOKUP(Table2[[#This Row],[college]]&amp;Table2[[#This Row],[division]]&amp;Table2[[#This Row],[year]],
Teams[college]&amp;Teams[division]&amp;Teams[year],
Teams[finish], "NA")</f>
        <v>0.6</v>
      </c>
    </row>
    <row r="36" spans="1:6" x14ac:dyDescent="0.3">
      <c r="A36" t="s">
        <v>462</v>
      </c>
      <c r="B36" t="s">
        <v>123</v>
      </c>
      <c r="C36">
        <v>6</v>
      </c>
      <c r="D36">
        <v>2022</v>
      </c>
      <c r="E36" cm="1">
        <f t="array" ref="E36">_xlfn.XLOOKUP(Table2[[#This Row],[college]]&amp;Table2[[#This Row],[division]]&amp;Table2[[#This Row],[year]],
Teams[college]&amp;Teams[division]&amp;Teams[year],
Teams[placing], "NA")</f>
        <v>1</v>
      </c>
      <c r="F36" s="1" cm="1">
        <f t="array" ref="F36">_xlfn.XLOOKUP(Table2[[#This Row],[college]]&amp;Table2[[#This Row],[division]]&amp;Table2[[#This Row],[year]],
Teams[college]&amp;Teams[division]&amp;Teams[year],
Teams[finish], "NA")</f>
        <v>0.48958333333333337</v>
      </c>
    </row>
    <row r="37" spans="1:6" x14ac:dyDescent="0.3">
      <c r="A37" t="s">
        <v>462</v>
      </c>
      <c r="B37" t="s">
        <v>241</v>
      </c>
      <c r="C37">
        <v>5</v>
      </c>
      <c r="D37">
        <v>2023</v>
      </c>
      <c r="E37" cm="1">
        <f t="array" ref="E37">_xlfn.XLOOKUP(Table2[[#This Row],[college]]&amp;Table2[[#This Row],[division]]&amp;Table2[[#This Row],[year]],
Teams[college]&amp;Teams[division]&amp;Teams[year],
Teams[placing], "NA")</f>
        <v>3</v>
      </c>
      <c r="F37" s="1" cm="1">
        <f t="array" ref="F37">_xlfn.XLOOKUP(Table2[[#This Row],[college]]&amp;Table2[[#This Row],[division]]&amp;Table2[[#This Row],[year]],
Teams[college]&amp;Teams[division]&amp;Teams[year],
Teams[finish], "NA")</f>
        <v>0.61805555555555558</v>
      </c>
    </row>
    <row r="38" spans="1:6" x14ac:dyDescent="0.3">
      <c r="A38" t="s">
        <v>462</v>
      </c>
      <c r="B38" t="s">
        <v>241</v>
      </c>
      <c r="C38">
        <v>7</v>
      </c>
      <c r="D38">
        <v>2024</v>
      </c>
      <c r="E38" t="str" cm="1">
        <f t="array" ref="E38">_xlfn.XLOOKUP(Table2[[#This Row],[college]]&amp;Table2[[#This Row],[division]]&amp;Table2[[#This Row],[year]],
Teams[college]&amp;Teams[division]&amp;Teams[year],
Teams[placing], "NA")</f>
        <v>DNF</v>
      </c>
      <c r="F38" s="1" t="str" cm="1">
        <f t="array" ref="F38">_xlfn.XLOOKUP(Table2[[#This Row],[college]]&amp;Table2[[#This Row],[division]]&amp;Table2[[#This Row],[year]],
Teams[college]&amp;Teams[division]&amp;Teams[year],
Teams[finish], "NA")</f>
        <v>NA</v>
      </c>
    </row>
    <row r="39" spans="1:6" x14ac:dyDescent="0.3">
      <c r="A39" t="s">
        <v>231</v>
      </c>
      <c r="B39" t="s">
        <v>10</v>
      </c>
      <c r="C39">
        <v>5</v>
      </c>
      <c r="D39">
        <v>2025</v>
      </c>
      <c r="E39" cm="1">
        <f t="array" ref="E39">_xlfn.XLOOKUP(Table2[[#This Row],[college]]&amp;Table2[[#This Row],[division]]&amp;Table2[[#This Row],[year]],
Teams[college]&amp;Teams[division]&amp;Teams[year],
Teams[placing], "NA")</f>
        <v>1</v>
      </c>
      <c r="F39" s="1" cm="1">
        <f t="array" ref="F39">_xlfn.XLOOKUP(Table2[[#This Row],[college]]&amp;Table2[[#This Row],[division]]&amp;Table2[[#This Row],[year]],
Teams[college]&amp;Teams[division]&amp;Teams[year],
Teams[finish], "NA")</f>
        <v>0.42222222222222222</v>
      </c>
    </row>
    <row r="40" spans="1:6" x14ac:dyDescent="0.3">
      <c r="A40" t="s">
        <v>378</v>
      </c>
      <c r="B40" t="s">
        <v>123</v>
      </c>
      <c r="C40">
        <v>7</v>
      </c>
      <c r="D40">
        <v>2024</v>
      </c>
      <c r="E40" cm="1">
        <f t="array" ref="E40">_xlfn.XLOOKUP(Table2[[#This Row],[college]]&amp;Table2[[#This Row],[division]]&amp;Table2[[#This Row],[year]],
Teams[college]&amp;Teams[division]&amp;Teams[year],
Teams[placing], "NA")</f>
        <v>8</v>
      </c>
      <c r="F40" s="1" cm="1">
        <f t="array" ref="F40">_xlfn.XLOOKUP(Table2[[#This Row],[college]]&amp;Table2[[#This Row],[division]]&amp;Table2[[#This Row],[year]],
Teams[college]&amp;Teams[division]&amp;Teams[year],
Teams[finish], "NA")</f>
        <v>0.70347222222222228</v>
      </c>
    </row>
    <row r="41" spans="1:6" x14ac:dyDescent="0.3">
      <c r="A41" t="s">
        <v>554</v>
      </c>
      <c r="B41" t="s">
        <v>266</v>
      </c>
      <c r="C41">
        <v>7</v>
      </c>
      <c r="D41">
        <v>2023</v>
      </c>
      <c r="E41" cm="1">
        <f t="array" ref="E41">_xlfn.XLOOKUP(Table2[[#This Row],[college]]&amp;Table2[[#This Row],[division]]&amp;Table2[[#This Row],[year]],
Teams[college]&amp;Teams[division]&amp;Teams[year],
Teams[placing], "NA")</f>
        <v>6</v>
      </c>
      <c r="F41" s="1" cm="1">
        <f t="array" ref="F41">_xlfn.XLOOKUP(Table2[[#This Row],[college]]&amp;Table2[[#This Row],[division]]&amp;Table2[[#This Row],[year]],
Teams[college]&amp;Teams[division]&amp;Teams[year],
Teams[finish], "NA")</f>
        <v>0.58819444444444446</v>
      </c>
    </row>
    <row r="42" spans="1:6" x14ac:dyDescent="0.3">
      <c r="A42" t="s">
        <v>257</v>
      </c>
      <c r="B42" t="s">
        <v>250</v>
      </c>
      <c r="C42">
        <v>2</v>
      </c>
      <c r="D42">
        <v>2025</v>
      </c>
      <c r="E42" cm="1">
        <f t="array" ref="E42">_xlfn.XLOOKUP(Table2[[#This Row],[college]]&amp;Table2[[#This Row],[division]]&amp;Table2[[#This Row],[year]],
Teams[college]&amp;Teams[division]&amp;Teams[year],
Teams[placing], "NA")</f>
        <v>3</v>
      </c>
      <c r="F42" s="1" cm="1">
        <f t="array" ref="F42">_xlfn.XLOOKUP(Table2[[#This Row],[college]]&amp;Table2[[#This Row],[division]]&amp;Table2[[#This Row],[year]],
Teams[college]&amp;Teams[division]&amp;Teams[year],
Teams[finish], "NA")</f>
        <v>0.5625</v>
      </c>
    </row>
    <row r="43" spans="1:6" x14ac:dyDescent="0.3">
      <c r="A43" t="s">
        <v>257</v>
      </c>
      <c r="B43" t="s">
        <v>250</v>
      </c>
      <c r="C43">
        <v>4</v>
      </c>
      <c r="D43">
        <v>2024</v>
      </c>
      <c r="E43" t="str" cm="1">
        <f t="array" ref="E43">_xlfn.XLOOKUP(Table2[[#This Row],[college]]&amp;Table2[[#This Row],[division]]&amp;Table2[[#This Row],[year]],
Teams[college]&amp;Teams[division]&amp;Teams[year],
Teams[placing], "NA")</f>
        <v>DNF</v>
      </c>
      <c r="F43" s="1" t="str" cm="1">
        <f t="array" ref="F43">_xlfn.XLOOKUP(Table2[[#This Row],[college]]&amp;Table2[[#This Row],[division]]&amp;Table2[[#This Row],[year]],
Teams[college]&amp;Teams[division]&amp;Teams[year],
Teams[finish], "NA")</f>
        <v>NA</v>
      </c>
    </row>
    <row r="44" spans="1:6" x14ac:dyDescent="0.3">
      <c r="A44" t="s">
        <v>257</v>
      </c>
      <c r="B44" t="s">
        <v>766</v>
      </c>
      <c r="C44">
        <v>5</v>
      </c>
      <c r="D44">
        <v>2026</v>
      </c>
      <c r="E44" cm="1">
        <f t="array" ref="E44">_xlfn.XLOOKUP(Table2[[#This Row],[college]]&amp;Table2[[#This Row],[division]]&amp;Table2[[#This Row],[year]],
Teams[college]&amp;Teams[division]&amp;Teams[year],
Teams[placing], "NA")</f>
        <v>0</v>
      </c>
      <c r="F44" s="1" cm="1">
        <f t="array" ref="F44">_xlfn.XLOOKUP(Table2[[#This Row],[college]]&amp;Table2[[#This Row],[division]]&amp;Table2[[#This Row],[year]],
Teams[college]&amp;Teams[division]&amp;Teams[year],
Teams[finish], "NA")</f>
        <v>0</v>
      </c>
    </row>
    <row r="45" spans="1:6" x14ac:dyDescent="0.3">
      <c r="A45" t="s">
        <v>218</v>
      </c>
      <c r="B45" t="s">
        <v>123</v>
      </c>
      <c r="C45">
        <v>4</v>
      </c>
      <c r="D45">
        <v>2025</v>
      </c>
      <c r="E45" t="str" cm="1">
        <f t="array" ref="E45">_xlfn.XLOOKUP(Table2[[#This Row],[college]]&amp;Table2[[#This Row],[division]]&amp;Table2[[#This Row],[year]],
Teams[college]&amp;Teams[division]&amp;Teams[year],
Teams[placing], "NA")</f>
        <v>DNF</v>
      </c>
      <c r="F45" s="1" t="str" cm="1">
        <f t="array" ref="F45">_xlfn.XLOOKUP(Table2[[#This Row],[college]]&amp;Table2[[#This Row],[division]]&amp;Table2[[#This Row],[year]],
Teams[college]&amp;Teams[division]&amp;Teams[year],
Teams[finish], "NA")</f>
        <v>NA</v>
      </c>
    </row>
    <row r="46" spans="1:6" x14ac:dyDescent="0.3">
      <c r="A46" t="s">
        <v>610</v>
      </c>
      <c r="B46" t="s">
        <v>755</v>
      </c>
      <c r="C46">
        <v>5</v>
      </c>
      <c r="D46">
        <v>2023</v>
      </c>
      <c r="E46" t="str" cm="1">
        <f t="array" ref="E46">_xlfn.XLOOKUP(Table2[[#This Row],[college]]&amp;Table2[[#This Row],[division]]&amp;Table2[[#This Row],[year]],
Teams[college]&amp;Teams[division]&amp;Teams[year],
Teams[placing], "NA")</f>
        <v>NA</v>
      </c>
      <c r="F46" s="1" cm="1">
        <f t="array" ref="F46">_xlfn.XLOOKUP(Table2[[#This Row],[college]]&amp;Table2[[#This Row],[division]]&amp;Table2[[#This Row],[year]],
Teams[college]&amp;Teams[division]&amp;Teams[year],
Teams[finish], "NA")</f>
        <v>0.63124999999999998</v>
      </c>
    </row>
    <row r="47" spans="1:6" x14ac:dyDescent="0.3">
      <c r="A47" t="s">
        <v>273</v>
      </c>
      <c r="B47" t="s">
        <v>250</v>
      </c>
      <c r="C47">
        <v>4</v>
      </c>
      <c r="D47">
        <v>2025</v>
      </c>
      <c r="E47" cm="1">
        <f t="array" ref="E47">_xlfn.XLOOKUP(Table2[[#This Row],[college]]&amp;Table2[[#This Row],[division]]&amp;Table2[[#This Row],[year]],
Teams[college]&amp;Teams[division]&amp;Teams[year],
Teams[placing], "NA")</f>
        <v>8</v>
      </c>
      <c r="F47" s="1" cm="1">
        <f t="array" ref="F47">_xlfn.XLOOKUP(Table2[[#This Row],[college]]&amp;Table2[[#This Row],[division]]&amp;Table2[[#This Row],[year]],
Teams[college]&amp;Teams[division]&amp;Teams[year],
Teams[finish], "NA")</f>
        <v>0.6875</v>
      </c>
    </row>
    <row r="48" spans="1:6" x14ac:dyDescent="0.3">
      <c r="A48" t="s">
        <v>273</v>
      </c>
      <c r="B48" t="s">
        <v>250</v>
      </c>
      <c r="C48">
        <v>6</v>
      </c>
      <c r="D48">
        <v>2026</v>
      </c>
      <c r="E48" cm="1">
        <f t="array" ref="E48">_xlfn.XLOOKUP(Table2[[#This Row],[college]]&amp;Table2[[#This Row],[division]]&amp;Table2[[#This Row],[year]],
Teams[college]&amp;Teams[division]&amp;Teams[year],
Teams[placing], "NA")</f>
        <v>0</v>
      </c>
      <c r="F48" s="1" cm="1">
        <f t="array" ref="F48">_xlfn.XLOOKUP(Table2[[#This Row],[college]]&amp;Table2[[#This Row],[division]]&amp;Table2[[#This Row],[year]],
Teams[college]&amp;Teams[division]&amp;Teams[year],
Teams[finish], "NA")</f>
        <v>0</v>
      </c>
    </row>
    <row r="49" spans="1:6" x14ac:dyDescent="0.3">
      <c r="A49" t="s">
        <v>449</v>
      </c>
      <c r="B49" t="s">
        <v>250</v>
      </c>
      <c r="C49">
        <v>7</v>
      </c>
      <c r="D49">
        <v>2022</v>
      </c>
      <c r="E49" cm="1">
        <f t="array" ref="E49">_xlfn.XLOOKUP(Table2[[#This Row],[college]]&amp;Table2[[#This Row],[division]]&amp;Table2[[#This Row],[year]],
Teams[college]&amp;Teams[division]&amp;Teams[year],
Teams[placing], "NA")</f>
        <v>7</v>
      </c>
      <c r="F49" s="1" cm="1">
        <f t="array" ref="F49">_xlfn.XLOOKUP(Table2[[#This Row],[college]]&amp;Table2[[#This Row],[division]]&amp;Table2[[#This Row],[year]],
Teams[college]&amp;Teams[division]&amp;Teams[year],
Teams[finish], "NA")</f>
        <v>0.49513888888888891</v>
      </c>
    </row>
    <row r="50" spans="1:6" x14ac:dyDescent="0.3">
      <c r="A50" t="s">
        <v>449</v>
      </c>
      <c r="B50" t="s">
        <v>250</v>
      </c>
      <c r="C50">
        <v>6</v>
      </c>
      <c r="D50">
        <v>2024</v>
      </c>
      <c r="E50" t="str" cm="1">
        <f t="array" ref="E50">_xlfn.XLOOKUP(Table2[[#This Row],[college]]&amp;Table2[[#This Row],[division]]&amp;Table2[[#This Row],[year]],
Teams[college]&amp;Teams[division]&amp;Teams[year],
Teams[placing], "NA")</f>
        <v>DNF</v>
      </c>
      <c r="F50" s="1" t="str" cm="1">
        <f t="array" ref="F50">_xlfn.XLOOKUP(Table2[[#This Row],[college]]&amp;Table2[[#This Row],[division]]&amp;Table2[[#This Row],[year]],
Teams[college]&amp;Teams[division]&amp;Teams[year],
Teams[finish], "NA")</f>
        <v>NA</v>
      </c>
    </row>
    <row r="51" spans="1:6" x14ac:dyDescent="0.3">
      <c r="A51" t="s">
        <v>906</v>
      </c>
      <c r="B51" t="s">
        <v>48</v>
      </c>
      <c r="C51">
        <v>5</v>
      </c>
      <c r="D51">
        <v>2026</v>
      </c>
      <c r="E51" cm="1">
        <f t="array" ref="E51">_xlfn.XLOOKUP(Table2[[#This Row],[college]]&amp;Table2[[#This Row],[division]]&amp;Table2[[#This Row],[year]],
Teams[college]&amp;Teams[division]&amp;Teams[year],
Teams[placing], "NA")</f>
        <v>0</v>
      </c>
      <c r="F51" s="1" cm="1">
        <f t="array" ref="F51">_xlfn.XLOOKUP(Table2[[#This Row],[college]]&amp;Table2[[#This Row],[division]]&amp;Table2[[#This Row],[year]],
Teams[college]&amp;Teams[division]&amp;Teams[year],
Teams[finish], "NA")</f>
        <v>0</v>
      </c>
    </row>
    <row r="52" spans="1:6" x14ac:dyDescent="0.3">
      <c r="A52" t="s">
        <v>25</v>
      </c>
      <c r="B52" t="s">
        <v>19</v>
      </c>
      <c r="C52">
        <v>4</v>
      </c>
      <c r="D52">
        <v>2025</v>
      </c>
      <c r="E52" cm="1">
        <f t="array" ref="E52">_xlfn.XLOOKUP(Table2[[#This Row],[college]]&amp;Table2[[#This Row],[division]]&amp;Table2[[#This Row],[year]],
Teams[college]&amp;Teams[division]&amp;Teams[year],
Teams[placing], "NA")</f>
        <v>6</v>
      </c>
      <c r="F52" s="1" cm="1">
        <f t="array" ref="F52">_xlfn.XLOOKUP(Table2[[#This Row],[college]]&amp;Table2[[#This Row],[division]]&amp;Table2[[#This Row],[year]],
Teams[college]&amp;Teams[division]&amp;Teams[year],
Teams[finish], "NA")</f>
        <v>0.6430555555555556</v>
      </c>
    </row>
    <row r="53" spans="1:6" x14ac:dyDescent="0.3">
      <c r="A53" t="s">
        <v>25</v>
      </c>
      <c r="B53" t="s">
        <v>19</v>
      </c>
      <c r="C53">
        <v>2</v>
      </c>
      <c r="D53">
        <v>2026</v>
      </c>
      <c r="E53" cm="1">
        <f t="array" ref="E53">_xlfn.XLOOKUP(Table2[[#This Row],[college]]&amp;Table2[[#This Row],[division]]&amp;Table2[[#This Row],[year]],
Teams[college]&amp;Teams[division]&amp;Teams[year],
Teams[placing], "NA")</f>
        <v>0</v>
      </c>
      <c r="F53" s="1" cm="1">
        <f t="array" ref="F53">_xlfn.XLOOKUP(Table2[[#This Row],[college]]&amp;Table2[[#This Row],[division]]&amp;Table2[[#This Row],[year]],
Teams[college]&amp;Teams[division]&amp;Teams[year],
Teams[finish], "NA")</f>
        <v>0</v>
      </c>
    </row>
    <row r="54" spans="1:6" x14ac:dyDescent="0.3">
      <c r="A54" t="s">
        <v>279</v>
      </c>
      <c r="B54" t="s">
        <v>266</v>
      </c>
      <c r="C54">
        <v>3</v>
      </c>
      <c r="D54">
        <v>2025</v>
      </c>
      <c r="E54" t="str" cm="1">
        <f t="array" ref="E54">_xlfn.XLOOKUP(Table2[[#This Row],[college]]&amp;Table2[[#This Row],[division]]&amp;Table2[[#This Row],[year]],
Teams[college]&amp;Teams[division]&amp;Teams[year],
Teams[placing], "NA")</f>
        <v>DNF</v>
      </c>
      <c r="F54" s="1" t="str" cm="1">
        <f t="array" ref="F54">_xlfn.XLOOKUP(Table2[[#This Row],[college]]&amp;Table2[[#This Row],[division]]&amp;Table2[[#This Row],[year]],
Teams[college]&amp;Teams[division]&amp;Teams[year],
Teams[finish], "NA")</f>
        <v>NA</v>
      </c>
    </row>
    <row r="55" spans="1:6" x14ac:dyDescent="0.3">
      <c r="A55" t="s">
        <v>279</v>
      </c>
      <c r="B55" t="s">
        <v>266</v>
      </c>
      <c r="C55">
        <v>3</v>
      </c>
      <c r="D55">
        <v>2026</v>
      </c>
      <c r="E55" cm="1">
        <f t="array" ref="E55">_xlfn.XLOOKUP(Table2[[#This Row],[college]]&amp;Table2[[#This Row],[division]]&amp;Table2[[#This Row],[year]],
Teams[college]&amp;Teams[division]&amp;Teams[year],
Teams[placing], "NA")</f>
        <v>0</v>
      </c>
      <c r="F55" s="1" cm="1">
        <f t="array" ref="F55">_xlfn.XLOOKUP(Table2[[#This Row],[college]]&amp;Table2[[#This Row],[division]]&amp;Table2[[#This Row],[year]],
Teams[college]&amp;Teams[division]&amp;Teams[year],
Teams[finish], "NA")</f>
        <v>0</v>
      </c>
    </row>
    <row r="56" spans="1:6" x14ac:dyDescent="0.3">
      <c r="A56" t="s">
        <v>778</v>
      </c>
      <c r="B56" t="s">
        <v>123</v>
      </c>
      <c r="C56">
        <v>6</v>
      </c>
      <c r="D56">
        <v>2026</v>
      </c>
      <c r="E56" cm="1">
        <f t="array" ref="E56">_xlfn.XLOOKUP(Table2[[#This Row],[college]]&amp;Table2[[#This Row],[division]]&amp;Table2[[#This Row],[year]],
Teams[college]&amp;Teams[division]&amp;Teams[year],
Teams[placing], "NA")</f>
        <v>0</v>
      </c>
      <c r="F56" s="1" cm="1">
        <f t="array" ref="F56">_xlfn.XLOOKUP(Table2[[#This Row],[college]]&amp;Table2[[#This Row],[division]]&amp;Table2[[#This Row],[year]],
Teams[college]&amp;Teams[division]&amp;Teams[year],
Teams[finish], "NA")</f>
        <v>0</v>
      </c>
    </row>
    <row r="57" spans="1:6" x14ac:dyDescent="0.3">
      <c r="A57" t="s">
        <v>617</v>
      </c>
      <c r="B57" t="s">
        <v>250</v>
      </c>
      <c r="C57">
        <v>6</v>
      </c>
      <c r="D57">
        <v>2023</v>
      </c>
      <c r="E57" t="str" cm="1">
        <f t="array" ref="E57">_xlfn.XLOOKUP(Table2[[#This Row],[college]]&amp;Table2[[#This Row],[division]]&amp;Table2[[#This Row],[year]],
Teams[college]&amp;Teams[division]&amp;Teams[year],
Teams[placing], "NA")</f>
        <v>DNF</v>
      </c>
      <c r="F57" s="1" t="str" cm="1">
        <f t="array" ref="F57">_xlfn.XLOOKUP(Table2[[#This Row],[college]]&amp;Table2[[#This Row],[division]]&amp;Table2[[#This Row],[year]],
Teams[college]&amp;Teams[division]&amp;Teams[year],
Teams[finish], "NA")</f>
        <v>NA</v>
      </c>
    </row>
    <row r="58" spans="1:6" x14ac:dyDescent="0.3">
      <c r="A58" t="s">
        <v>433</v>
      </c>
      <c r="B58" t="s">
        <v>123</v>
      </c>
      <c r="C58">
        <v>6</v>
      </c>
      <c r="D58">
        <v>2024</v>
      </c>
      <c r="E58" cm="1">
        <f t="array" ref="E58">_xlfn.XLOOKUP(Table2[[#This Row],[college]]&amp;Table2[[#This Row],[division]]&amp;Table2[[#This Row],[year]],
Teams[college]&amp;Teams[division]&amp;Teams[year],
Teams[placing], "NA")</f>
        <v>5</v>
      </c>
      <c r="F58" s="1" cm="1">
        <f t="array" ref="F58">_xlfn.XLOOKUP(Table2[[#This Row],[college]]&amp;Table2[[#This Row],[division]]&amp;Table2[[#This Row],[year]],
Teams[college]&amp;Teams[division]&amp;Teams[year],
Teams[finish], "NA")</f>
        <v>0.64444444444444449</v>
      </c>
    </row>
    <row r="59" spans="1:6" x14ac:dyDescent="0.3">
      <c r="A59" t="s">
        <v>342</v>
      </c>
      <c r="B59" t="s">
        <v>5</v>
      </c>
      <c r="C59">
        <v>2</v>
      </c>
      <c r="D59">
        <v>2024</v>
      </c>
      <c r="E59" cm="1">
        <f t="array" ref="E59">_xlfn.XLOOKUP(Table2[[#This Row],[college]]&amp;Table2[[#This Row],[division]]&amp;Table2[[#This Row],[year]],
Teams[college]&amp;Teams[division]&amp;Teams[year],
Teams[placing], "NA")</f>
        <v>2</v>
      </c>
      <c r="F59" s="1" cm="1">
        <f t="array" ref="F59">_xlfn.XLOOKUP(Table2[[#This Row],[college]]&amp;Table2[[#This Row],[division]]&amp;Table2[[#This Row],[year]],
Teams[college]&amp;Teams[division]&amp;Teams[year],
Teams[finish], "NA")</f>
        <v>0.51597222222222228</v>
      </c>
    </row>
    <row r="60" spans="1:6" x14ac:dyDescent="0.3">
      <c r="A60" t="s">
        <v>342</v>
      </c>
      <c r="B60" t="s">
        <v>5</v>
      </c>
      <c r="C60">
        <v>2</v>
      </c>
      <c r="D60">
        <v>2023</v>
      </c>
      <c r="E60" t="str" cm="1">
        <f t="array" ref="E60">_xlfn.XLOOKUP(Table2[[#This Row],[college]]&amp;Table2[[#This Row],[division]]&amp;Table2[[#This Row],[year]],
Teams[college]&amp;Teams[division]&amp;Teams[year],
Teams[placing], "NA")</f>
        <v>DNF</v>
      </c>
      <c r="F60" s="1" t="str" cm="1">
        <f t="array" ref="F60">_xlfn.XLOOKUP(Table2[[#This Row],[college]]&amp;Table2[[#This Row],[division]]&amp;Table2[[#This Row],[year]],
Teams[college]&amp;Teams[division]&amp;Teams[year],
Teams[finish], "NA")</f>
        <v>NA</v>
      </c>
    </row>
    <row r="61" spans="1:6" x14ac:dyDescent="0.3">
      <c r="A61" t="s">
        <v>691</v>
      </c>
      <c r="B61" t="s">
        <v>10</v>
      </c>
      <c r="C61">
        <v>6</v>
      </c>
      <c r="D61">
        <v>2022</v>
      </c>
      <c r="E61" cm="1">
        <f t="array" ref="E61">_xlfn.XLOOKUP(Table2[[#This Row],[college]]&amp;Table2[[#This Row],[division]]&amp;Table2[[#This Row],[year]],
Teams[college]&amp;Teams[division]&amp;Teams[year],
Teams[placing], "NA")</f>
        <v>3</v>
      </c>
      <c r="F61" s="1" cm="1">
        <f t="array" ref="F61">_xlfn.XLOOKUP(Table2[[#This Row],[college]]&amp;Table2[[#This Row],[division]]&amp;Table2[[#This Row],[year]],
Teams[college]&amp;Teams[division]&amp;Teams[year],
Teams[finish], "NA")</f>
        <v>0.49583333333333335</v>
      </c>
    </row>
    <row r="62" spans="1:6" x14ac:dyDescent="0.3">
      <c r="A62" t="s">
        <v>114</v>
      </c>
      <c r="B62" t="s">
        <v>15</v>
      </c>
      <c r="C62">
        <v>7</v>
      </c>
      <c r="D62">
        <v>2025</v>
      </c>
      <c r="E62" cm="1">
        <f t="array" ref="E62">_xlfn.XLOOKUP(Table2[[#This Row],[college]]&amp;Table2[[#This Row],[division]]&amp;Table2[[#This Row],[year]],
Teams[college]&amp;Teams[division]&amp;Teams[year],
Teams[placing], "NA")</f>
        <v>5</v>
      </c>
      <c r="F62" s="1" cm="1">
        <f t="array" ref="F62">_xlfn.XLOOKUP(Table2[[#This Row],[college]]&amp;Table2[[#This Row],[division]]&amp;Table2[[#This Row],[year]],
Teams[college]&amp;Teams[division]&amp;Teams[year],
Teams[finish], "NA")</f>
        <v>0.51388888888888884</v>
      </c>
    </row>
    <row r="63" spans="1:6" x14ac:dyDescent="0.3">
      <c r="A63" t="s">
        <v>24</v>
      </c>
      <c r="B63" t="s">
        <v>19</v>
      </c>
      <c r="C63">
        <v>4</v>
      </c>
      <c r="D63">
        <v>2025</v>
      </c>
      <c r="E63" cm="1">
        <f t="array" ref="E63">_xlfn.XLOOKUP(Table2[[#This Row],[college]]&amp;Table2[[#This Row],[division]]&amp;Table2[[#This Row],[year]],
Teams[college]&amp;Teams[division]&amp;Teams[year],
Teams[placing], "NA")</f>
        <v>6</v>
      </c>
      <c r="F63" s="1" cm="1">
        <f t="array" ref="F63">_xlfn.XLOOKUP(Table2[[#This Row],[college]]&amp;Table2[[#This Row],[division]]&amp;Table2[[#This Row],[year]],
Teams[college]&amp;Teams[division]&amp;Teams[year],
Teams[finish], "NA")</f>
        <v>0.6430555555555556</v>
      </c>
    </row>
    <row r="64" spans="1:6" x14ac:dyDescent="0.3">
      <c r="A64" t="s">
        <v>224</v>
      </c>
      <c r="B64" t="s">
        <v>5</v>
      </c>
      <c r="C64">
        <v>3</v>
      </c>
      <c r="D64">
        <v>2025</v>
      </c>
      <c r="E64" cm="1">
        <f t="array" ref="E64">_xlfn.XLOOKUP(Table2[[#This Row],[college]]&amp;Table2[[#This Row],[division]]&amp;Table2[[#This Row],[year]],
Teams[college]&amp;Teams[division]&amp;Teams[year],
Teams[placing], "NA")</f>
        <v>3</v>
      </c>
      <c r="F64" s="1" cm="1">
        <f t="array" ref="F64">_xlfn.XLOOKUP(Table2[[#This Row],[college]]&amp;Table2[[#This Row],[division]]&amp;Table2[[#This Row],[year]],
Teams[college]&amp;Teams[division]&amp;Teams[year],
Teams[finish], "NA")</f>
        <v>0.52708333333333335</v>
      </c>
    </row>
    <row r="65" spans="1:6" x14ac:dyDescent="0.3">
      <c r="A65" t="s">
        <v>888</v>
      </c>
      <c r="B65" t="s">
        <v>19</v>
      </c>
      <c r="C65">
        <v>5</v>
      </c>
      <c r="D65">
        <v>2026</v>
      </c>
      <c r="E65" cm="1">
        <f t="array" ref="E65">_xlfn.XLOOKUP(Table2[[#This Row],[college]]&amp;Table2[[#This Row],[division]]&amp;Table2[[#This Row],[year]],
Teams[college]&amp;Teams[division]&amp;Teams[year],
Teams[placing], "NA")</f>
        <v>0</v>
      </c>
      <c r="F65" s="1" cm="1">
        <f t="array" ref="F65">_xlfn.XLOOKUP(Table2[[#This Row],[college]]&amp;Table2[[#This Row],[division]]&amp;Table2[[#This Row],[year]],
Teams[college]&amp;Teams[division]&amp;Teams[year],
Teams[finish], "NA")</f>
        <v>0</v>
      </c>
    </row>
    <row r="66" spans="1:6" x14ac:dyDescent="0.3">
      <c r="A66" t="s">
        <v>329</v>
      </c>
      <c r="B66" t="s">
        <v>241</v>
      </c>
      <c r="C66">
        <v>7</v>
      </c>
      <c r="D66">
        <v>2025</v>
      </c>
      <c r="E66" cm="1">
        <f t="array" ref="E66">_xlfn.XLOOKUP(Table2[[#This Row],[college]]&amp;Table2[[#This Row],[division]]&amp;Table2[[#This Row],[year]],
Teams[college]&amp;Teams[division]&amp;Teams[year],
Teams[placing], "NA")</f>
        <v>10</v>
      </c>
      <c r="F66" s="1" cm="1">
        <f t="array" ref="F66">_xlfn.XLOOKUP(Table2[[#This Row],[college]]&amp;Table2[[#This Row],[division]]&amp;Table2[[#This Row],[year]],
Teams[college]&amp;Teams[division]&amp;Teams[year],
Teams[finish], "NA")</f>
        <v>0.61250000000000004</v>
      </c>
    </row>
    <row r="67" spans="1:6" x14ac:dyDescent="0.3">
      <c r="A67" t="s">
        <v>239</v>
      </c>
      <c r="B67" t="s">
        <v>10</v>
      </c>
      <c r="C67">
        <v>7</v>
      </c>
      <c r="D67">
        <v>2025</v>
      </c>
      <c r="E67" cm="1">
        <f t="array" ref="E67">_xlfn.XLOOKUP(Table2[[#This Row],[college]]&amp;Table2[[#This Row],[division]]&amp;Table2[[#This Row],[year]],
Teams[college]&amp;Teams[division]&amp;Teams[year],
Teams[placing], "NA")</f>
        <v>1</v>
      </c>
      <c r="F67" s="1" cm="1">
        <f t="array" ref="F67">_xlfn.XLOOKUP(Table2[[#This Row],[college]]&amp;Table2[[#This Row],[division]]&amp;Table2[[#This Row],[year]],
Teams[college]&amp;Teams[division]&amp;Teams[year],
Teams[finish], "NA")</f>
        <v>0.43333333333333335</v>
      </c>
    </row>
    <row r="68" spans="1:6" x14ac:dyDescent="0.3">
      <c r="A68" t="s">
        <v>239</v>
      </c>
      <c r="B68" t="s">
        <v>10</v>
      </c>
      <c r="C68">
        <v>7</v>
      </c>
      <c r="D68">
        <v>2026</v>
      </c>
      <c r="E68" cm="1">
        <f t="array" ref="E68">_xlfn.XLOOKUP(Table2[[#This Row],[college]]&amp;Table2[[#This Row],[division]]&amp;Table2[[#This Row],[year]],
Teams[college]&amp;Teams[division]&amp;Teams[year],
Teams[placing], "NA")</f>
        <v>0</v>
      </c>
      <c r="F68" s="1" cm="1">
        <f t="array" ref="F68">_xlfn.XLOOKUP(Table2[[#This Row],[college]]&amp;Table2[[#This Row],[division]]&amp;Table2[[#This Row],[year]],
Teams[college]&amp;Teams[division]&amp;Teams[year],
Teams[finish], "NA")</f>
        <v>0</v>
      </c>
    </row>
    <row r="69" spans="1:6" x14ac:dyDescent="0.3">
      <c r="A69" t="s">
        <v>357</v>
      </c>
      <c r="B69" t="s">
        <v>15</v>
      </c>
      <c r="C69">
        <v>1</v>
      </c>
      <c r="D69">
        <v>2024</v>
      </c>
      <c r="E69" cm="1">
        <f t="array" ref="E69">_xlfn.XLOOKUP(Table2[[#This Row],[college]]&amp;Table2[[#This Row],[division]]&amp;Table2[[#This Row],[year]],
Teams[college]&amp;Teams[division]&amp;Teams[year],
Teams[placing], "NA")</f>
        <v>2</v>
      </c>
      <c r="F69" s="1" cm="1">
        <f t="array" ref="F69">_xlfn.XLOOKUP(Table2[[#This Row],[college]]&amp;Table2[[#This Row],[division]]&amp;Table2[[#This Row],[year]],
Teams[college]&amp;Teams[division]&amp;Teams[year],
Teams[finish], "NA")</f>
        <v>0.52638888888888891</v>
      </c>
    </row>
    <row r="70" spans="1:6" x14ac:dyDescent="0.3">
      <c r="A70" t="s">
        <v>516</v>
      </c>
      <c r="B70" t="s">
        <v>10</v>
      </c>
      <c r="C70">
        <v>7</v>
      </c>
      <c r="D70">
        <v>2023</v>
      </c>
      <c r="E70" t="str" cm="1">
        <f t="array" ref="E70">_xlfn.XLOOKUP(Table2[[#This Row],[college]]&amp;Table2[[#This Row],[division]]&amp;Table2[[#This Row],[year]],
Teams[college]&amp;Teams[division]&amp;Teams[year],
Teams[placing], "NA")</f>
        <v>DNF</v>
      </c>
      <c r="F70" s="1" t="str" cm="1">
        <f t="array" ref="F70">_xlfn.XLOOKUP(Table2[[#This Row],[college]]&amp;Table2[[#This Row],[division]]&amp;Table2[[#This Row],[year]],
Teams[college]&amp;Teams[division]&amp;Teams[year],
Teams[finish], "NA")</f>
        <v>NA</v>
      </c>
    </row>
    <row r="71" spans="1:6" x14ac:dyDescent="0.3">
      <c r="A71" t="s">
        <v>94</v>
      </c>
      <c r="B71" t="s">
        <v>756</v>
      </c>
      <c r="C71">
        <v>6</v>
      </c>
      <c r="D71">
        <v>2025</v>
      </c>
      <c r="E71" t="str" cm="1">
        <f t="array" ref="E71">_xlfn.XLOOKUP(Table2[[#This Row],[college]]&amp;Table2[[#This Row],[division]]&amp;Table2[[#This Row],[year]],
Teams[college]&amp;Teams[division]&amp;Teams[year],
Teams[placing], "NA")</f>
        <v>NA</v>
      </c>
      <c r="F71" s="1" cm="1">
        <f t="array" ref="F71">_xlfn.XLOOKUP(Table2[[#This Row],[college]]&amp;Table2[[#This Row],[division]]&amp;Table2[[#This Row],[year]],
Teams[college]&amp;Teams[division]&amp;Teams[year],
Teams[finish], "NA")</f>
        <v>0.63611111111111107</v>
      </c>
    </row>
    <row r="72" spans="1:6" x14ac:dyDescent="0.3">
      <c r="A72" t="s">
        <v>94</v>
      </c>
      <c r="B72" t="s">
        <v>19</v>
      </c>
      <c r="C72">
        <v>7</v>
      </c>
      <c r="D72">
        <v>2024</v>
      </c>
      <c r="E72" cm="1">
        <f t="array" ref="E72">_xlfn.XLOOKUP(Table2[[#This Row],[college]]&amp;Table2[[#This Row],[division]]&amp;Table2[[#This Row],[year]],
Teams[college]&amp;Teams[division]&amp;Teams[year],
Teams[placing], "NA")</f>
        <v>6</v>
      </c>
      <c r="F72" s="1" cm="1">
        <f t="array" ref="F72">_xlfn.XLOOKUP(Table2[[#This Row],[college]]&amp;Table2[[#This Row],[division]]&amp;Table2[[#This Row],[year]],
Teams[college]&amp;Teams[division]&amp;Teams[year],
Teams[finish], "NA")</f>
        <v>0.6958333333333333</v>
      </c>
    </row>
    <row r="73" spans="1:6" x14ac:dyDescent="0.3">
      <c r="A73" t="s">
        <v>334</v>
      </c>
      <c r="B73" t="s">
        <v>756</v>
      </c>
      <c r="C73">
        <v>5</v>
      </c>
      <c r="D73">
        <v>2024</v>
      </c>
      <c r="E73" t="str" cm="1">
        <f t="array" ref="E73">_xlfn.XLOOKUP(Table2[[#This Row],[college]]&amp;Table2[[#This Row],[division]]&amp;Table2[[#This Row],[year]],
Teams[college]&amp;Teams[division]&amp;Teams[year],
Teams[placing], "NA")</f>
        <v>NA</v>
      </c>
      <c r="F73" s="1" cm="1">
        <f t="array" ref="F73">_xlfn.XLOOKUP(Table2[[#This Row],[college]]&amp;Table2[[#This Row],[division]]&amp;Table2[[#This Row],[year]],
Teams[college]&amp;Teams[division]&amp;Teams[year],
Teams[finish], "NA")</f>
        <v>0.62361111111111112</v>
      </c>
    </row>
    <row r="74" spans="1:6" x14ac:dyDescent="0.3">
      <c r="A74" t="s">
        <v>299</v>
      </c>
      <c r="B74" t="s">
        <v>241</v>
      </c>
      <c r="C74">
        <v>6</v>
      </c>
      <c r="D74">
        <v>2025</v>
      </c>
      <c r="E74" cm="1">
        <f t="array" ref="E74">_xlfn.XLOOKUP(Table2[[#This Row],[college]]&amp;Table2[[#This Row],[division]]&amp;Table2[[#This Row],[year]],
Teams[college]&amp;Teams[division]&amp;Teams[year],
Teams[placing], "NA")</f>
        <v>8</v>
      </c>
      <c r="F74" s="1" cm="1">
        <f t="array" ref="F74">_xlfn.XLOOKUP(Table2[[#This Row],[college]]&amp;Table2[[#This Row],[division]]&amp;Table2[[#This Row],[year]],
Teams[college]&amp;Teams[division]&amp;Teams[year],
Teams[finish], "NA")</f>
        <v>0.67152777777777772</v>
      </c>
    </row>
    <row r="75" spans="1:6" x14ac:dyDescent="0.3">
      <c r="A75" t="s">
        <v>854</v>
      </c>
      <c r="B75" t="s">
        <v>241</v>
      </c>
      <c r="C75">
        <v>4</v>
      </c>
      <c r="D75">
        <v>2026</v>
      </c>
      <c r="E75" cm="1">
        <f t="array" ref="E75">_xlfn.XLOOKUP(Table2[[#This Row],[college]]&amp;Table2[[#This Row],[division]]&amp;Table2[[#This Row],[year]],
Teams[college]&amp;Teams[division]&amp;Teams[year],
Teams[placing], "NA")</f>
        <v>0</v>
      </c>
      <c r="F75" s="1" cm="1">
        <f t="array" ref="F75">_xlfn.XLOOKUP(Table2[[#This Row],[college]]&amp;Table2[[#This Row],[division]]&amp;Table2[[#This Row],[year]],
Teams[college]&amp;Teams[division]&amp;Teams[year],
Teams[finish], "NA")</f>
        <v>0</v>
      </c>
    </row>
    <row r="76" spans="1:6" x14ac:dyDescent="0.3">
      <c r="A76" t="s">
        <v>69</v>
      </c>
      <c r="B76" t="s">
        <v>5</v>
      </c>
      <c r="C76">
        <v>4</v>
      </c>
      <c r="D76">
        <v>2025</v>
      </c>
      <c r="E76" cm="1">
        <f t="array" ref="E76">_xlfn.XLOOKUP(Table2[[#This Row],[college]]&amp;Table2[[#This Row],[division]]&amp;Table2[[#This Row],[year]],
Teams[college]&amp;Teams[division]&amp;Teams[year],
Teams[placing], "NA")</f>
        <v>2</v>
      </c>
      <c r="F76" s="1" cm="1">
        <f t="array" ref="F76">_xlfn.XLOOKUP(Table2[[#This Row],[college]]&amp;Table2[[#This Row],[division]]&amp;Table2[[#This Row],[year]],
Teams[college]&amp;Teams[division]&amp;Teams[year],
Teams[finish], "NA")</f>
        <v>0.57222222222222219</v>
      </c>
    </row>
    <row r="77" spans="1:6" x14ac:dyDescent="0.3">
      <c r="A77" t="s">
        <v>69</v>
      </c>
      <c r="B77" t="s">
        <v>48</v>
      </c>
      <c r="C77">
        <v>6</v>
      </c>
      <c r="D77">
        <v>2024</v>
      </c>
      <c r="E77" t="str" cm="1">
        <f t="array" ref="E77">_xlfn.XLOOKUP(Table2[[#This Row],[college]]&amp;Table2[[#This Row],[division]]&amp;Table2[[#This Row],[year]],
Teams[college]&amp;Teams[division]&amp;Teams[year],
Teams[placing], "NA")</f>
        <v>DNF</v>
      </c>
      <c r="F77" s="1" t="str" cm="1">
        <f t="array" ref="F77">_xlfn.XLOOKUP(Table2[[#This Row],[college]]&amp;Table2[[#This Row],[division]]&amp;Table2[[#This Row],[year]],
Teams[college]&amp;Teams[division]&amp;Teams[year],
Teams[finish], "NA")</f>
        <v>NA</v>
      </c>
    </row>
    <row r="78" spans="1:6" x14ac:dyDescent="0.3">
      <c r="A78" t="s">
        <v>69</v>
      </c>
      <c r="B78" t="s">
        <v>5</v>
      </c>
      <c r="C78">
        <v>4</v>
      </c>
      <c r="D78">
        <v>2026</v>
      </c>
      <c r="E78" cm="1">
        <f t="array" ref="E78">_xlfn.XLOOKUP(Table2[[#This Row],[college]]&amp;Table2[[#This Row],[division]]&amp;Table2[[#This Row],[year]],
Teams[college]&amp;Teams[division]&amp;Teams[year],
Teams[placing], "NA")</f>
        <v>0</v>
      </c>
      <c r="F78" s="1" cm="1">
        <f t="array" ref="F78">_xlfn.XLOOKUP(Table2[[#This Row],[college]]&amp;Table2[[#This Row],[division]]&amp;Table2[[#This Row],[year]],
Teams[college]&amp;Teams[division]&amp;Teams[year],
Teams[finish], "NA")</f>
        <v>0</v>
      </c>
    </row>
    <row r="79" spans="1:6" x14ac:dyDescent="0.3">
      <c r="A79" t="s">
        <v>154</v>
      </c>
      <c r="B79" t="s">
        <v>137</v>
      </c>
      <c r="C79">
        <v>1</v>
      </c>
      <c r="D79">
        <v>2025</v>
      </c>
      <c r="E79" cm="1">
        <f t="array" ref="E79">_xlfn.XLOOKUP(Table2[[#This Row],[college]]&amp;Table2[[#This Row],[division]]&amp;Table2[[#This Row],[year]],
Teams[college]&amp;Teams[division]&amp;Teams[year],
Teams[placing], "NA")</f>
        <v>5</v>
      </c>
      <c r="F79" s="1" cm="1">
        <f t="array" ref="F79">_xlfn.XLOOKUP(Table2[[#This Row],[college]]&amp;Table2[[#This Row],[division]]&amp;Table2[[#This Row],[year]],
Teams[college]&amp;Teams[division]&amp;Teams[year],
Teams[finish], "NA")</f>
        <v>0.59861111111111109</v>
      </c>
    </row>
    <row r="80" spans="1:6" x14ac:dyDescent="0.3">
      <c r="A80" t="s">
        <v>154</v>
      </c>
      <c r="B80" t="s">
        <v>137</v>
      </c>
      <c r="C80">
        <v>1</v>
      </c>
      <c r="D80">
        <v>2024</v>
      </c>
      <c r="E80" t="str" cm="1">
        <f t="array" ref="E80">_xlfn.XLOOKUP(Table2[[#This Row],[college]]&amp;Table2[[#This Row],[division]]&amp;Table2[[#This Row],[year]],
Teams[college]&amp;Teams[division]&amp;Teams[year],
Teams[placing], "NA")</f>
        <v>DNF</v>
      </c>
      <c r="F80" s="1" t="str" cm="1">
        <f t="array" ref="F80">_xlfn.XLOOKUP(Table2[[#This Row],[college]]&amp;Table2[[#This Row],[division]]&amp;Table2[[#This Row],[year]],
Teams[college]&amp;Teams[division]&amp;Teams[year],
Teams[finish], "NA")</f>
        <v>NA</v>
      </c>
    </row>
    <row r="81" spans="1:6" x14ac:dyDescent="0.3">
      <c r="A81" t="s">
        <v>129</v>
      </c>
      <c r="B81" t="s">
        <v>123</v>
      </c>
      <c r="C81">
        <v>6</v>
      </c>
      <c r="D81">
        <v>2025</v>
      </c>
      <c r="E81" cm="1">
        <f t="array" ref="E81">_xlfn.XLOOKUP(Table2[[#This Row],[college]]&amp;Table2[[#This Row],[division]]&amp;Table2[[#This Row],[year]],
Teams[college]&amp;Teams[division]&amp;Teams[year],
Teams[placing], "NA")</f>
        <v>2</v>
      </c>
      <c r="F81" s="1" cm="1">
        <f t="array" ref="F81">_xlfn.XLOOKUP(Table2[[#This Row],[college]]&amp;Table2[[#This Row],[division]]&amp;Table2[[#This Row],[year]],
Teams[college]&amp;Teams[division]&amp;Teams[year],
Teams[finish], "NA")</f>
        <v>0.51111111111111107</v>
      </c>
    </row>
    <row r="82" spans="1:6" x14ac:dyDescent="0.3">
      <c r="A82" t="s">
        <v>32</v>
      </c>
      <c r="B82" t="s">
        <v>19</v>
      </c>
      <c r="C82">
        <v>6</v>
      </c>
      <c r="D82">
        <v>2025</v>
      </c>
      <c r="E82" cm="1">
        <f t="array" ref="E82">_xlfn.XLOOKUP(Table2[[#This Row],[college]]&amp;Table2[[#This Row],[division]]&amp;Table2[[#This Row],[year]],
Teams[college]&amp;Teams[division]&amp;Teams[year],
Teams[placing], "NA")</f>
        <v>4</v>
      </c>
      <c r="F82" s="1" cm="1">
        <f t="array" ref="F82">_xlfn.XLOOKUP(Table2[[#This Row],[college]]&amp;Table2[[#This Row],[division]]&amp;Table2[[#This Row],[year]],
Teams[college]&amp;Teams[division]&amp;Teams[year],
Teams[finish], "NA")</f>
        <v>0.54861111111111116</v>
      </c>
    </row>
    <row r="83" spans="1:6" x14ac:dyDescent="0.3">
      <c r="A83" t="s">
        <v>356</v>
      </c>
      <c r="B83" t="s">
        <v>48</v>
      </c>
      <c r="C83">
        <v>7</v>
      </c>
      <c r="D83">
        <v>2023</v>
      </c>
      <c r="E83" cm="1">
        <f t="array" ref="E83">_xlfn.XLOOKUP(Table2[[#This Row],[college]]&amp;Table2[[#This Row],[division]]&amp;Table2[[#This Row],[year]],
Teams[college]&amp;Teams[division]&amp;Teams[year],
Teams[placing], "NA")</f>
        <v>4</v>
      </c>
      <c r="F83" s="1" cm="1">
        <f t="array" ref="F83">_xlfn.XLOOKUP(Table2[[#This Row],[college]]&amp;Table2[[#This Row],[division]]&amp;Table2[[#This Row],[year]],
Teams[college]&amp;Teams[division]&amp;Teams[year],
Teams[finish], "NA")</f>
        <v>0.55972222222222223</v>
      </c>
    </row>
    <row r="84" spans="1:6" x14ac:dyDescent="0.3">
      <c r="A84" t="s">
        <v>422</v>
      </c>
      <c r="B84" t="s">
        <v>266</v>
      </c>
      <c r="C84">
        <v>7</v>
      </c>
      <c r="D84">
        <v>2024</v>
      </c>
      <c r="E84" t="str" cm="1">
        <f t="array" ref="E84">_xlfn.XLOOKUP(Table2[[#This Row],[college]]&amp;Table2[[#This Row],[division]]&amp;Table2[[#This Row],[year]],
Teams[college]&amp;Teams[division]&amp;Teams[year],
Teams[placing], "NA")</f>
        <v>DNF</v>
      </c>
      <c r="F84" s="1" t="str" cm="1">
        <f t="array" ref="F84">_xlfn.XLOOKUP(Table2[[#This Row],[college]]&amp;Table2[[#This Row],[division]]&amp;Table2[[#This Row],[year]],
Teams[college]&amp;Teams[division]&amp;Teams[year],
Teams[finish], "NA")</f>
        <v>NA</v>
      </c>
    </row>
    <row r="85" spans="1:6" x14ac:dyDescent="0.3">
      <c r="A85" t="s">
        <v>685</v>
      </c>
      <c r="B85" t="s">
        <v>19</v>
      </c>
      <c r="C85">
        <v>6</v>
      </c>
      <c r="D85">
        <v>2022</v>
      </c>
      <c r="E85" cm="1">
        <f t="array" ref="E85">_xlfn.XLOOKUP(Table2[[#This Row],[college]]&amp;Table2[[#This Row],[division]]&amp;Table2[[#This Row],[year]],
Teams[college]&amp;Teams[division]&amp;Teams[year],
Teams[placing], "NA")</f>
        <v>2</v>
      </c>
      <c r="F85" s="1" cm="1">
        <f t="array" ref="F85">_xlfn.XLOOKUP(Table2[[#This Row],[college]]&amp;Table2[[#This Row],[division]]&amp;Table2[[#This Row],[year]],
Teams[college]&amp;Teams[division]&amp;Teams[year],
Teams[finish], "NA")</f>
        <v>0.49027777777777781</v>
      </c>
    </row>
    <row r="86" spans="1:6" x14ac:dyDescent="0.3">
      <c r="A86" t="s">
        <v>661</v>
      </c>
      <c r="B86" t="s">
        <v>132</v>
      </c>
      <c r="C86">
        <v>7</v>
      </c>
      <c r="D86">
        <v>2022</v>
      </c>
      <c r="E86" cm="1">
        <f t="array" ref="E86">_xlfn.XLOOKUP(Table2[[#This Row],[college]]&amp;Table2[[#This Row],[division]]&amp;Table2[[#This Row],[year]],
Teams[college]&amp;Teams[division]&amp;Teams[year],
Teams[placing], "NA")</f>
        <v>2</v>
      </c>
      <c r="F86" s="1" cm="1">
        <f t="array" ref="F86">_xlfn.XLOOKUP(Table2[[#This Row],[college]]&amp;Table2[[#This Row],[division]]&amp;Table2[[#This Row],[year]],
Teams[college]&amp;Teams[division]&amp;Teams[year],
Teams[finish], "NA")</f>
        <v>0.45486111111111116</v>
      </c>
    </row>
    <row r="87" spans="1:6" x14ac:dyDescent="0.3">
      <c r="A87" t="s">
        <v>42</v>
      </c>
      <c r="B87" t="s">
        <v>15</v>
      </c>
      <c r="C87">
        <v>5</v>
      </c>
      <c r="D87">
        <v>2025</v>
      </c>
      <c r="E87" cm="1">
        <f t="array" ref="E87">_xlfn.XLOOKUP(Table2[[#This Row],[college]]&amp;Table2[[#This Row],[division]]&amp;Table2[[#This Row],[year]],
Teams[college]&amp;Teams[division]&amp;Teams[year],
Teams[placing], "NA")</f>
        <v>6</v>
      </c>
      <c r="F87" s="1" cm="1">
        <f t="array" ref="F87">_xlfn.XLOOKUP(Table2[[#This Row],[college]]&amp;Table2[[#This Row],[division]]&amp;Table2[[#This Row],[year]],
Teams[college]&amp;Teams[division]&amp;Teams[year],
Teams[finish], "NA")</f>
        <v>0.49652777777777779</v>
      </c>
    </row>
    <row r="88" spans="1:6" x14ac:dyDescent="0.3">
      <c r="A88" t="s">
        <v>156</v>
      </c>
      <c r="B88" t="s">
        <v>137</v>
      </c>
      <c r="C88">
        <v>2</v>
      </c>
      <c r="D88">
        <v>2025</v>
      </c>
      <c r="E88" cm="1">
        <f t="array" ref="E88">_xlfn.XLOOKUP(Table2[[#This Row],[college]]&amp;Table2[[#This Row],[division]]&amp;Table2[[#This Row],[year]],
Teams[college]&amp;Teams[division]&amp;Teams[year],
Teams[placing], "NA")</f>
        <v>6</v>
      </c>
      <c r="F88" s="1" cm="1">
        <f t="array" ref="F88">_xlfn.XLOOKUP(Table2[[#This Row],[college]]&amp;Table2[[#This Row],[division]]&amp;Table2[[#This Row],[year]],
Teams[college]&amp;Teams[division]&amp;Teams[year],
Teams[finish], "NA")</f>
        <v>0.65555555555555556</v>
      </c>
    </row>
    <row r="89" spans="1:6" x14ac:dyDescent="0.3">
      <c r="A89" t="s">
        <v>156</v>
      </c>
      <c r="B89" t="s">
        <v>137</v>
      </c>
      <c r="C89">
        <v>3</v>
      </c>
      <c r="D89">
        <v>2024</v>
      </c>
      <c r="E89" cm="1">
        <f t="array" ref="E89">_xlfn.XLOOKUP(Table2[[#This Row],[college]]&amp;Table2[[#This Row],[division]]&amp;Table2[[#This Row],[year]],
Teams[college]&amp;Teams[division]&amp;Teams[year],
Teams[placing], "NA")</f>
        <v>4</v>
      </c>
      <c r="F89" s="1" cm="1">
        <f t="array" ref="F89">_xlfn.XLOOKUP(Table2[[#This Row],[college]]&amp;Table2[[#This Row],[division]]&amp;Table2[[#This Row],[year]],
Teams[college]&amp;Teams[division]&amp;Teams[year],
Teams[finish], "NA")</f>
        <v>0.68402777777777779</v>
      </c>
    </row>
    <row r="90" spans="1:6" x14ac:dyDescent="0.3">
      <c r="A90" t="s">
        <v>319</v>
      </c>
      <c r="B90" t="s">
        <v>266</v>
      </c>
      <c r="C90">
        <v>4</v>
      </c>
      <c r="D90">
        <v>2025</v>
      </c>
      <c r="E90" cm="1">
        <f t="array" ref="E90">_xlfn.XLOOKUP(Table2[[#This Row],[college]]&amp;Table2[[#This Row],[division]]&amp;Table2[[#This Row],[year]],
Teams[college]&amp;Teams[division]&amp;Teams[year],
Teams[placing], "NA")</f>
        <v>7</v>
      </c>
      <c r="F90" s="1" cm="1">
        <f t="array" ref="F90">_xlfn.XLOOKUP(Table2[[#This Row],[college]]&amp;Table2[[#This Row],[division]]&amp;Table2[[#This Row],[year]],
Teams[college]&amp;Teams[division]&amp;Teams[year],
Teams[finish], "NA")</f>
        <v>0.65347222222222223</v>
      </c>
    </row>
    <row r="91" spans="1:6" x14ac:dyDescent="0.3">
      <c r="A91" t="s">
        <v>319</v>
      </c>
      <c r="B91" t="s">
        <v>266</v>
      </c>
      <c r="C91">
        <v>1</v>
      </c>
      <c r="D91">
        <v>2026</v>
      </c>
      <c r="E91" cm="1">
        <f t="array" ref="E91">_xlfn.XLOOKUP(Table2[[#This Row],[college]]&amp;Table2[[#This Row],[division]]&amp;Table2[[#This Row],[year]],
Teams[college]&amp;Teams[division]&amp;Teams[year],
Teams[placing], "NA")</f>
        <v>0</v>
      </c>
      <c r="F91" s="1" cm="1">
        <f t="array" ref="F91">_xlfn.XLOOKUP(Table2[[#This Row],[college]]&amp;Table2[[#This Row],[division]]&amp;Table2[[#This Row],[year]],
Teams[college]&amp;Teams[division]&amp;Teams[year],
Teams[finish], "NA")</f>
        <v>0</v>
      </c>
    </row>
    <row r="92" spans="1:6" x14ac:dyDescent="0.3">
      <c r="A92" t="s">
        <v>197</v>
      </c>
      <c r="B92" t="s">
        <v>137</v>
      </c>
      <c r="C92">
        <v>7</v>
      </c>
      <c r="D92">
        <v>2025</v>
      </c>
      <c r="E92" cm="1">
        <f t="array" ref="E92">_xlfn.XLOOKUP(Table2[[#This Row],[college]]&amp;Table2[[#This Row],[division]]&amp;Table2[[#This Row],[year]],
Teams[college]&amp;Teams[division]&amp;Teams[year],
Teams[placing], "NA")</f>
        <v>8</v>
      </c>
      <c r="F92" s="1" cm="1">
        <f t="array" ref="F92">_xlfn.XLOOKUP(Table2[[#This Row],[college]]&amp;Table2[[#This Row],[division]]&amp;Table2[[#This Row],[year]],
Teams[college]&amp;Teams[division]&amp;Teams[year],
Teams[finish], "NA")</f>
        <v>0.55277777777777781</v>
      </c>
    </row>
    <row r="93" spans="1:6" x14ac:dyDescent="0.3">
      <c r="A93" t="s">
        <v>197</v>
      </c>
      <c r="B93" t="s">
        <v>787</v>
      </c>
      <c r="C93">
        <v>7</v>
      </c>
      <c r="D93">
        <v>2026</v>
      </c>
      <c r="E93" t="str" cm="1">
        <f t="array" ref="E93">_xlfn.XLOOKUP(Table2[[#This Row],[college]]&amp;Table2[[#This Row],[division]]&amp;Table2[[#This Row],[year]],
Teams[college]&amp;Teams[division]&amp;Teams[year],
Teams[placing], "NA")</f>
        <v>NA</v>
      </c>
      <c r="F93" s="1" t="str" cm="1">
        <f t="array" ref="F93">_xlfn.XLOOKUP(Table2[[#This Row],[college]]&amp;Table2[[#This Row],[division]]&amp;Table2[[#This Row],[year]],
Teams[college]&amp;Teams[division]&amp;Teams[year],
Teams[finish], "NA")</f>
        <v>NA</v>
      </c>
    </row>
    <row r="94" spans="1:6" x14ac:dyDescent="0.3">
      <c r="A94" t="s">
        <v>717</v>
      </c>
      <c r="B94" t="s">
        <v>123</v>
      </c>
      <c r="C94">
        <v>2</v>
      </c>
      <c r="D94">
        <v>2022</v>
      </c>
      <c r="E94" cm="1">
        <f t="array" ref="E94">_xlfn.XLOOKUP(Table2[[#This Row],[college]]&amp;Table2[[#This Row],[division]]&amp;Table2[[#This Row],[year]],
Teams[college]&amp;Teams[division]&amp;Teams[year],
Teams[placing], "NA")</f>
        <v>1</v>
      </c>
      <c r="F94" s="1" cm="1">
        <f t="array" ref="F94">_xlfn.XLOOKUP(Table2[[#This Row],[college]]&amp;Table2[[#This Row],[division]]&amp;Table2[[#This Row],[year]],
Teams[college]&amp;Teams[division]&amp;Teams[year],
Teams[finish], "NA")</f>
        <v>0.48888888888888887</v>
      </c>
    </row>
    <row r="95" spans="1:6" x14ac:dyDescent="0.3">
      <c r="A95" t="s">
        <v>774</v>
      </c>
      <c r="B95" t="s">
        <v>123</v>
      </c>
      <c r="C95">
        <v>7</v>
      </c>
      <c r="D95">
        <v>2026</v>
      </c>
      <c r="E95" cm="1">
        <f t="array" ref="E95">_xlfn.XLOOKUP(Table2[[#This Row],[college]]&amp;Table2[[#This Row],[division]]&amp;Table2[[#This Row],[year]],
Teams[college]&amp;Teams[division]&amp;Teams[year],
Teams[placing], "NA")</f>
        <v>0</v>
      </c>
      <c r="F95" s="1" cm="1">
        <f t="array" ref="F95">_xlfn.XLOOKUP(Table2[[#This Row],[college]]&amp;Table2[[#This Row],[division]]&amp;Table2[[#This Row],[year]],
Teams[college]&amp;Teams[division]&amp;Teams[year],
Teams[finish], "NA")</f>
        <v>0</v>
      </c>
    </row>
    <row r="96" spans="1:6" x14ac:dyDescent="0.3">
      <c r="A96" t="s">
        <v>569</v>
      </c>
      <c r="B96" t="s">
        <v>123</v>
      </c>
      <c r="C96">
        <v>4</v>
      </c>
      <c r="D96">
        <v>2022</v>
      </c>
      <c r="E96" cm="1">
        <f t="array" ref="E96">_xlfn.XLOOKUP(Table2[[#This Row],[college]]&amp;Table2[[#This Row],[division]]&amp;Table2[[#This Row],[year]],
Teams[college]&amp;Teams[division]&amp;Teams[year],
Teams[placing], "NA")</f>
        <v>2</v>
      </c>
      <c r="F96" s="1" cm="1">
        <f t="array" ref="F96">_xlfn.XLOOKUP(Table2[[#This Row],[college]]&amp;Table2[[#This Row],[division]]&amp;Table2[[#This Row],[year]],
Teams[college]&amp;Teams[division]&amp;Teams[year],
Teams[finish], "NA")</f>
        <v>0.4465277777777778</v>
      </c>
    </row>
    <row r="97" spans="1:6" x14ac:dyDescent="0.3">
      <c r="A97" t="s">
        <v>569</v>
      </c>
      <c r="B97" t="s">
        <v>123</v>
      </c>
      <c r="C97">
        <v>6</v>
      </c>
      <c r="D97">
        <v>2023</v>
      </c>
      <c r="E97" cm="1">
        <f t="array" ref="E97">_xlfn.XLOOKUP(Table2[[#This Row],[college]]&amp;Table2[[#This Row],[division]]&amp;Table2[[#This Row],[year]],
Teams[college]&amp;Teams[division]&amp;Teams[year],
Teams[placing], "NA")</f>
        <v>1</v>
      </c>
      <c r="F97" s="1" cm="1">
        <f t="array" ref="F97">_xlfn.XLOOKUP(Table2[[#This Row],[college]]&amp;Table2[[#This Row],[division]]&amp;Table2[[#This Row],[year]],
Teams[college]&amp;Teams[division]&amp;Teams[year],
Teams[finish], "NA")</f>
        <v>0.55208333333333337</v>
      </c>
    </row>
    <row r="98" spans="1:6" x14ac:dyDescent="0.3">
      <c r="A98" t="s">
        <v>833</v>
      </c>
      <c r="B98" t="s">
        <v>10</v>
      </c>
      <c r="C98">
        <v>3</v>
      </c>
      <c r="D98">
        <v>2026</v>
      </c>
      <c r="E98" cm="1">
        <f t="array" ref="E98">_xlfn.XLOOKUP(Table2[[#This Row],[college]]&amp;Table2[[#This Row],[division]]&amp;Table2[[#This Row],[year]],
Teams[college]&amp;Teams[division]&amp;Teams[year],
Teams[placing], "NA")</f>
        <v>0</v>
      </c>
      <c r="F98" s="1" cm="1">
        <f t="array" ref="F98">_xlfn.XLOOKUP(Table2[[#This Row],[college]]&amp;Table2[[#This Row],[division]]&amp;Table2[[#This Row],[year]],
Teams[college]&amp;Teams[division]&amp;Teams[year],
Teams[finish], "NA")</f>
        <v>0</v>
      </c>
    </row>
    <row r="99" spans="1:6" x14ac:dyDescent="0.3">
      <c r="A99" t="s">
        <v>451</v>
      </c>
      <c r="B99" t="s">
        <v>250</v>
      </c>
      <c r="C99">
        <v>6</v>
      </c>
      <c r="D99">
        <v>2024</v>
      </c>
      <c r="E99" t="str" cm="1">
        <f t="array" ref="E99">_xlfn.XLOOKUP(Table2[[#This Row],[college]]&amp;Table2[[#This Row],[division]]&amp;Table2[[#This Row],[year]],
Teams[college]&amp;Teams[division]&amp;Teams[year],
Teams[placing], "NA")</f>
        <v>DNF</v>
      </c>
      <c r="F99" s="1" t="str" cm="1">
        <f t="array" ref="F99">_xlfn.XLOOKUP(Table2[[#This Row],[college]]&amp;Table2[[#This Row],[division]]&amp;Table2[[#This Row],[year]],
Teams[college]&amp;Teams[division]&amp;Teams[year],
Teams[finish], "NA")</f>
        <v>NA</v>
      </c>
    </row>
    <row r="100" spans="1:6" x14ac:dyDescent="0.3">
      <c r="A100" t="s">
        <v>434</v>
      </c>
      <c r="B100" t="s">
        <v>123</v>
      </c>
      <c r="C100">
        <v>6</v>
      </c>
      <c r="D100">
        <v>2024</v>
      </c>
      <c r="E100" cm="1">
        <f t="array" ref="E100">_xlfn.XLOOKUP(Table2[[#This Row],[college]]&amp;Table2[[#This Row],[division]]&amp;Table2[[#This Row],[year]],
Teams[college]&amp;Teams[division]&amp;Teams[year],
Teams[placing], "NA")</f>
        <v>5</v>
      </c>
      <c r="F100" s="1" cm="1">
        <f t="array" ref="F100">_xlfn.XLOOKUP(Table2[[#This Row],[college]]&amp;Table2[[#This Row],[division]]&amp;Table2[[#This Row],[year]],
Teams[college]&amp;Teams[division]&amp;Teams[year],
Teams[finish], "NA")</f>
        <v>0.64444444444444449</v>
      </c>
    </row>
    <row r="101" spans="1:6" x14ac:dyDescent="0.3">
      <c r="A101" t="s">
        <v>164</v>
      </c>
      <c r="B101" t="s">
        <v>137</v>
      </c>
      <c r="C101">
        <v>5</v>
      </c>
      <c r="D101">
        <v>2025</v>
      </c>
      <c r="E101" cm="1">
        <f t="array" ref="E101">_xlfn.XLOOKUP(Table2[[#This Row],[college]]&amp;Table2[[#This Row],[division]]&amp;Table2[[#This Row],[year]],
Teams[college]&amp;Teams[division]&amp;Teams[year],
Teams[placing], "NA")</f>
        <v>5</v>
      </c>
      <c r="F101" s="1" cm="1">
        <f t="array" ref="F101">_xlfn.XLOOKUP(Table2[[#This Row],[college]]&amp;Table2[[#This Row],[division]]&amp;Table2[[#This Row],[year]],
Teams[college]&amp;Teams[division]&amp;Teams[year],
Teams[finish], "NA")</f>
        <v>0.47847222222222224</v>
      </c>
    </row>
    <row r="102" spans="1:6" x14ac:dyDescent="0.3">
      <c r="A102" t="s">
        <v>612</v>
      </c>
      <c r="B102" t="s">
        <v>755</v>
      </c>
      <c r="C102">
        <v>6</v>
      </c>
      <c r="D102">
        <v>2023</v>
      </c>
      <c r="E102" t="str" cm="1">
        <f t="array" ref="E102">_xlfn.XLOOKUP(Table2[[#This Row],[college]]&amp;Table2[[#This Row],[division]]&amp;Table2[[#This Row],[year]],
Teams[college]&amp;Teams[division]&amp;Teams[year],
Teams[placing], "NA")</f>
        <v>NA</v>
      </c>
      <c r="F102" s="1" cm="1">
        <f t="array" ref="F102">_xlfn.XLOOKUP(Table2[[#This Row],[college]]&amp;Table2[[#This Row],[division]]&amp;Table2[[#This Row],[year]],
Teams[college]&amp;Teams[division]&amp;Teams[year],
Teams[finish], "NA")</f>
        <v>0.68611111111111112</v>
      </c>
    </row>
    <row r="103" spans="1:6" x14ac:dyDescent="0.3">
      <c r="A103" t="s">
        <v>951</v>
      </c>
      <c r="B103" t="s">
        <v>19</v>
      </c>
      <c r="C103">
        <v>7</v>
      </c>
      <c r="D103">
        <v>2026</v>
      </c>
      <c r="E103" cm="1">
        <f t="array" ref="E103">_xlfn.XLOOKUP(Table2[[#This Row],[college]]&amp;Table2[[#This Row],[division]]&amp;Table2[[#This Row],[year]],
Teams[college]&amp;Teams[division]&amp;Teams[year],
Teams[placing], "NA")</f>
        <v>0</v>
      </c>
      <c r="F103" s="1" cm="1">
        <f t="array" ref="F103">_xlfn.XLOOKUP(Table2[[#This Row],[college]]&amp;Table2[[#This Row],[division]]&amp;Table2[[#This Row],[year]],
Teams[college]&amp;Teams[division]&amp;Teams[year],
Teams[finish], "NA")</f>
        <v>0</v>
      </c>
    </row>
    <row r="104" spans="1:6" x14ac:dyDescent="0.3">
      <c r="A104" t="s">
        <v>551</v>
      </c>
      <c r="B104" t="s">
        <v>123</v>
      </c>
      <c r="C104">
        <v>3</v>
      </c>
      <c r="D104">
        <v>2023</v>
      </c>
      <c r="E104" cm="1">
        <f t="array" ref="E104">_xlfn.XLOOKUP(Table2[[#This Row],[college]]&amp;Table2[[#This Row],[division]]&amp;Table2[[#This Row],[year]],
Teams[college]&amp;Teams[division]&amp;Teams[year],
Teams[placing], "NA")</f>
        <v>1</v>
      </c>
      <c r="F104" s="1" cm="1">
        <f t="array" ref="F104">_xlfn.XLOOKUP(Table2[[#This Row],[college]]&amp;Table2[[#This Row],[division]]&amp;Table2[[#This Row],[year]],
Teams[college]&amp;Teams[division]&amp;Teams[year],
Teams[finish], "NA")</f>
        <v>0.52777777777777779</v>
      </c>
    </row>
    <row r="105" spans="1:6" x14ac:dyDescent="0.3">
      <c r="A105" t="s">
        <v>551</v>
      </c>
      <c r="B105" t="s">
        <v>123</v>
      </c>
      <c r="C105">
        <v>5</v>
      </c>
      <c r="D105">
        <v>2024</v>
      </c>
      <c r="E105" cm="1">
        <f t="array" ref="E105">_xlfn.XLOOKUP(Table2[[#This Row],[college]]&amp;Table2[[#This Row],[division]]&amp;Table2[[#This Row],[year]],
Teams[college]&amp;Teams[division]&amp;Teams[year],
Teams[placing], "NA")</f>
        <v>1</v>
      </c>
      <c r="F105" s="1" cm="1">
        <f t="array" ref="F105">_xlfn.XLOOKUP(Table2[[#This Row],[college]]&amp;Table2[[#This Row],[division]]&amp;Table2[[#This Row],[year]],
Teams[college]&amp;Teams[division]&amp;Teams[year],
Teams[finish], "NA")</f>
        <v>0.53888888888888886</v>
      </c>
    </row>
    <row r="106" spans="1:6" x14ac:dyDescent="0.3">
      <c r="A106" t="s">
        <v>13</v>
      </c>
      <c r="B106" t="s">
        <v>10</v>
      </c>
      <c r="C106">
        <v>1</v>
      </c>
      <c r="D106">
        <v>2025</v>
      </c>
      <c r="E106" t="str" cm="1">
        <f t="array" ref="E106">_xlfn.XLOOKUP(Table2[[#This Row],[college]]&amp;Table2[[#This Row],[division]]&amp;Table2[[#This Row],[year]],
Teams[college]&amp;Teams[division]&amp;Teams[year],
Teams[placing], "NA")</f>
        <v>DNF</v>
      </c>
      <c r="F106" s="1" t="str" cm="1">
        <f t="array" ref="F106">_xlfn.XLOOKUP(Table2[[#This Row],[college]]&amp;Table2[[#This Row],[division]]&amp;Table2[[#This Row],[year]],
Teams[college]&amp;Teams[division]&amp;Teams[year],
Teams[finish], "NA")</f>
        <v>NA</v>
      </c>
    </row>
    <row r="107" spans="1:6" x14ac:dyDescent="0.3">
      <c r="A107" t="s">
        <v>174</v>
      </c>
      <c r="B107" t="s">
        <v>132</v>
      </c>
      <c r="C107">
        <v>5</v>
      </c>
      <c r="D107">
        <v>2025</v>
      </c>
      <c r="E107" cm="1">
        <f t="array" ref="E107">_xlfn.XLOOKUP(Table2[[#This Row],[college]]&amp;Table2[[#This Row],[division]]&amp;Table2[[#This Row],[year]],
Teams[college]&amp;Teams[division]&amp;Teams[year],
Teams[placing], "NA")</f>
        <v>7</v>
      </c>
      <c r="F107" s="1" cm="1">
        <f t="array" ref="F107">_xlfn.XLOOKUP(Table2[[#This Row],[college]]&amp;Table2[[#This Row],[division]]&amp;Table2[[#This Row],[year]],
Teams[college]&amp;Teams[division]&amp;Teams[year],
Teams[finish], "NA")</f>
        <v>0.52638888888888891</v>
      </c>
    </row>
    <row r="108" spans="1:6" x14ac:dyDescent="0.3">
      <c r="A108" t="s">
        <v>174</v>
      </c>
      <c r="B108" t="s">
        <v>132</v>
      </c>
      <c r="C108">
        <v>4</v>
      </c>
      <c r="D108">
        <v>2024</v>
      </c>
      <c r="E108" cm="1">
        <f t="array" ref="E108">_xlfn.XLOOKUP(Table2[[#This Row],[college]]&amp;Table2[[#This Row],[division]]&amp;Table2[[#This Row],[year]],
Teams[college]&amp;Teams[division]&amp;Teams[year],
Teams[placing], "NA")</f>
        <v>4</v>
      </c>
      <c r="F108" s="1" cm="1">
        <f t="array" ref="F108">_xlfn.XLOOKUP(Table2[[#This Row],[college]]&amp;Table2[[#This Row],[division]]&amp;Table2[[#This Row],[year]],
Teams[college]&amp;Teams[division]&amp;Teams[year],
Teams[finish], "NA")</f>
        <v>0.65277777777777779</v>
      </c>
    </row>
    <row r="109" spans="1:6" x14ac:dyDescent="0.3">
      <c r="A109" t="s">
        <v>174</v>
      </c>
      <c r="B109" t="s">
        <v>132</v>
      </c>
      <c r="C109">
        <v>4</v>
      </c>
      <c r="D109">
        <v>2023</v>
      </c>
      <c r="E109" t="str" cm="1">
        <f t="array" ref="E109">_xlfn.XLOOKUP(Table2[[#This Row],[college]]&amp;Table2[[#This Row],[division]]&amp;Table2[[#This Row],[year]],
Teams[college]&amp;Teams[division]&amp;Teams[year],
Teams[placing], "NA")</f>
        <v>DNF</v>
      </c>
      <c r="F109" s="1" t="str" cm="1">
        <f t="array" ref="F109">_xlfn.XLOOKUP(Table2[[#This Row],[college]]&amp;Table2[[#This Row],[division]]&amp;Table2[[#This Row],[year]],
Teams[college]&amp;Teams[division]&amp;Teams[year],
Teams[finish], "NA")</f>
        <v>NA</v>
      </c>
    </row>
    <row r="110" spans="1:6" x14ac:dyDescent="0.3">
      <c r="A110" t="s">
        <v>785</v>
      </c>
      <c r="B110" t="s">
        <v>123</v>
      </c>
      <c r="C110">
        <v>7</v>
      </c>
      <c r="D110">
        <v>2026</v>
      </c>
      <c r="E110" cm="1">
        <f t="array" ref="E110">_xlfn.XLOOKUP(Table2[[#This Row],[college]]&amp;Table2[[#This Row],[division]]&amp;Table2[[#This Row],[year]],
Teams[college]&amp;Teams[division]&amp;Teams[year],
Teams[placing], "NA")</f>
        <v>0</v>
      </c>
      <c r="F110" s="1" cm="1">
        <f t="array" ref="F110">_xlfn.XLOOKUP(Table2[[#This Row],[college]]&amp;Table2[[#This Row],[division]]&amp;Table2[[#This Row],[year]],
Teams[college]&amp;Teams[division]&amp;Teams[year],
Teams[finish], "NA")</f>
        <v>0</v>
      </c>
    </row>
    <row r="111" spans="1:6" x14ac:dyDescent="0.3">
      <c r="A111" t="s">
        <v>11</v>
      </c>
      <c r="B111" t="s">
        <v>10</v>
      </c>
      <c r="C111">
        <v>7</v>
      </c>
      <c r="D111">
        <v>2024</v>
      </c>
      <c r="E111" cm="1">
        <f t="array" ref="E111">_xlfn.XLOOKUP(Table2[[#This Row],[college]]&amp;Table2[[#This Row],[division]]&amp;Table2[[#This Row],[year]],
Teams[college]&amp;Teams[division]&amp;Teams[year],
Teams[placing], "NA")</f>
        <v>5</v>
      </c>
      <c r="F111" s="1" cm="1">
        <f t="array" ref="F111">_xlfn.XLOOKUP(Table2[[#This Row],[college]]&amp;Table2[[#This Row],[division]]&amp;Table2[[#This Row],[year]],
Teams[college]&amp;Teams[division]&amp;Teams[year],
Teams[finish], "NA")</f>
        <v>0.69374999999999998</v>
      </c>
    </row>
    <row r="112" spans="1:6" x14ac:dyDescent="0.3">
      <c r="A112" t="s">
        <v>11</v>
      </c>
      <c r="B112" t="s">
        <v>10</v>
      </c>
      <c r="C112">
        <v>1</v>
      </c>
      <c r="D112">
        <v>2025</v>
      </c>
      <c r="E112" t="str" cm="1">
        <f t="array" ref="E112">_xlfn.XLOOKUP(Table2[[#This Row],[college]]&amp;Table2[[#This Row],[division]]&amp;Table2[[#This Row],[year]],
Teams[college]&amp;Teams[division]&amp;Teams[year],
Teams[placing], "NA")</f>
        <v>DNF</v>
      </c>
      <c r="F112" s="1" t="str" cm="1">
        <f t="array" ref="F112">_xlfn.XLOOKUP(Table2[[#This Row],[college]]&amp;Table2[[#This Row],[division]]&amp;Table2[[#This Row],[year]],
Teams[college]&amp;Teams[division]&amp;Teams[year],
Teams[finish], "NA")</f>
        <v>NA</v>
      </c>
    </row>
    <row r="113" spans="1:6" x14ac:dyDescent="0.3">
      <c r="A113" t="s">
        <v>139</v>
      </c>
      <c r="B113" t="s">
        <v>137</v>
      </c>
      <c r="C113">
        <v>6</v>
      </c>
      <c r="D113">
        <v>2025</v>
      </c>
      <c r="E113" cm="1">
        <f t="array" ref="E113">_xlfn.XLOOKUP(Table2[[#This Row],[college]]&amp;Table2[[#This Row],[division]]&amp;Table2[[#This Row],[year]],
Teams[college]&amp;Teams[division]&amp;Teams[year],
Teams[placing], "NA")</f>
        <v>6</v>
      </c>
      <c r="F113" s="1" cm="1">
        <f t="array" ref="F113">_xlfn.XLOOKUP(Table2[[#This Row],[college]]&amp;Table2[[#This Row],[division]]&amp;Table2[[#This Row],[year]],
Teams[college]&amp;Teams[division]&amp;Teams[year],
Teams[finish], "NA")</f>
        <v>0.56944444444444442</v>
      </c>
    </row>
    <row r="114" spans="1:6" x14ac:dyDescent="0.3">
      <c r="A114" t="s">
        <v>139</v>
      </c>
      <c r="B114" t="s">
        <v>787</v>
      </c>
      <c r="C114">
        <v>1</v>
      </c>
      <c r="D114">
        <v>2026</v>
      </c>
      <c r="E114" t="str" cm="1">
        <f t="array" ref="E114">_xlfn.XLOOKUP(Table2[[#This Row],[college]]&amp;Table2[[#This Row],[division]]&amp;Table2[[#This Row],[year]],
Teams[college]&amp;Teams[division]&amp;Teams[year],
Teams[placing], "NA")</f>
        <v>NA</v>
      </c>
      <c r="F114" s="1" t="str" cm="1">
        <f t="array" ref="F114">_xlfn.XLOOKUP(Table2[[#This Row],[college]]&amp;Table2[[#This Row],[division]]&amp;Table2[[#This Row],[year]],
Teams[college]&amp;Teams[division]&amp;Teams[year],
Teams[finish], "NA")</f>
        <v>NA</v>
      </c>
    </row>
    <row r="115" spans="1:6" x14ac:dyDescent="0.3">
      <c r="A115" t="s">
        <v>560</v>
      </c>
      <c r="B115" t="s">
        <v>137</v>
      </c>
      <c r="C115">
        <v>5</v>
      </c>
      <c r="D115">
        <v>2023</v>
      </c>
      <c r="E115" cm="1">
        <f t="array" ref="E115">_xlfn.XLOOKUP(Table2[[#This Row],[college]]&amp;Table2[[#This Row],[division]]&amp;Table2[[#This Row],[year]],
Teams[college]&amp;Teams[division]&amp;Teams[year],
Teams[placing], "NA")</f>
        <v>6</v>
      </c>
      <c r="F115" s="1" cm="1">
        <f t="array" ref="F115">_xlfn.XLOOKUP(Table2[[#This Row],[college]]&amp;Table2[[#This Row],[division]]&amp;Table2[[#This Row],[year]],
Teams[college]&amp;Teams[division]&amp;Teams[year],
Teams[finish], "NA")</f>
        <v>0.66666666666666663</v>
      </c>
    </row>
    <row r="116" spans="1:6" x14ac:dyDescent="0.3">
      <c r="A116" t="s">
        <v>327</v>
      </c>
      <c r="B116" t="s">
        <v>241</v>
      </c>
      <c r="C116">
        <v>7</v>
      </c>
      <c r="D116">
        <v>2025</v>
      </c>
      <c r="E116" cm="1">
        <f t="array" ref="E116">_xlfn.XLOOKUP(Table2[[#This Row],[college]]&amp;Table2[[#This Row],[division]]&amp;Table2[[#This Row],[year]],
Teams[college]&amp;Teams[division]&amp;Teams[year],
Teams[placing], "NA")</f>
        <v>10</v>
      </c>
      <c r="F116" s="1" cm="1">
        <f t="array" ref="F116">_xlfn.XLOOKUP(Table2[[#This Row],[college]]&amp;Table2[[#This Row],[division]]&amp;Table2[[#This Row],[year]],
Teams[college]&amp;Teams[division]&amp;Teams[year],
Teams[finish], "NA")</f>
        <v>0.61250000000000004</v>
      </c>
    </row>
    <row r="117" spans="1:6" x14ac:dyDescent="0.3">
      <c r="A117" t="s">
        <v>327</v>
      </c>
      <c r="B117" t="s">
        <v>241</v>
      </c>
      <c r="C117">
        <v>6</v>
      </c>
      <c r="D117">
        <v>2024</v>
      </c>
      <c r="E117" t="str" cm="1">
        <f t="array" ref="E117">_xlfn.XLOOKUP(Table2[[#This Row],[college]]&amp;Table2[[#This Row],[division]]&amp;Table2[[#This Row],[year]],
Teams[college]&amp;Teams[division]&amp;Teams[year],
Teams[placing], "NA")</f>
        <v>DNF</v>
      </c>
      <c r="F117" s="1" t="str" cm="1">
        <f t="array" ref="F117">_xlfn.XLOOKUP(Table2[[#This Row],[college]]&amp;Table2[[#This Row],[division]]&amp;Table2[[#This Row],[year]],
Teams[college]&amp;Teams[division]&amp;Teams[year],
Teams[finish], "NA")</f>
        <v>NA</v>
      </c>
    </row>
    <row r="118" spans="1:6" x14ac:dyDescent="0.3">
      <c r="A118" t="s">
        <v>327</v>
      </c>
      <c r="B118" t="s">
        <v>241</v>
      </c>
      <c r="C118">
        <v>6</v>
      </c>
      <c r="D118">
        <v>2026</v>
      </c>
      <c r="E118" cm="1">
        <f t="array" ref="E118">_xlfn.XLOOKUP(Table2[[#This Row],[college]]&amp;Table2[[#This Row],[division]]&amp;Table2[[#This Row],[year]],
Teams[college]&amp;Teams[division]&amp;Teams[year],
Teams[placing], "NA")</f>
        <v>0</v>
      </c>
      <c r="F118" s="1" cm="1">
        <f t="array" ref="F118">_xlfn.XLOOKUP(Table2[[#This Row],[college]]&amp;Table2[[#This Row],[division]]&amp;Table2[[#This Row],[year]],
Teams[college]&amp;Teams[division]&amp;Teams[year],
Teams[finish], "NA")</f>
        <v>0</v>
      </c>
    </row>
    <row r="119" spans="1:6" x14ac:dyDescent="0.3">
      <c r="A119" t="s">
        <v>259</v>
      </c>
      <c r="B119" t="s">
        <v>250</v>
      </c>
      <c r="C119">
        <v>2</v>
      </c>
      <c r="D119">
        <v>2025</v>
      </c>
      <c r="E119" cm="1">
        <f t="array" ref="E119">_xlfn.XLOOKUP(Table2[[#This Row],[college]]&amp;Table2[[#This Row],[division]]&amp;Table2[[#This Row],[year]],
Teams[college]&amp;Teams[division]&amp;Teams[year],
Teams[placing], "NA")</f>
        <v>3</v>
      </c>
      <c r="F119" s="1" cm="1">
        <f t="array" ref="F119">_xlfn.XLOOKUP(Table2[[#This Row],[college]]&amp;Table2[[#This Row],[division]]&amp;Table2[[#This Row],[year]],
Teams[college]&amp;Teams[division]&amp;Teams[year],
Teams[finish], "NA")</f>
        <v>0.5625</v>
      </c>
    </row>
    <row r="120" spans="1:6" x14ac:dyDescent="0.3">
      <c r="A120" t="s">
        <v>372</v>
      </c>
      <c r="B120" t="s">
        <v>19</v>
      </c>
      <c r="C120">
        <v>7</v>
      </c>
      <c r="D120">
        <v>2024</v>
      </c>
      <c r="E120" cm="1">
        <f t="array" ref="E120">_xlfn.XLOOKUP(Table2[[#This Row],[college]]&amp;Table2[[#This Row],[division]]&amp;Table2[[#This Row],[year]],
Teams[college]&amp;Teams[division]&amp;Teams[year],
Teams[placing], "NA")</f>
        <v>6</v>
      </c>
      <c r="F120" s="1" cm="1">
        <f t="array" ref="F120">_xlfn.XLOOKUP(Table2[[#This Row],[college]]&amp;Table2[[#This Row],[division]]&amp;Table2[[#This Row],[year]],
Teams[college]&amp;Teams[division]&amp;Teams[year],
Teams[finish], "NA")</f>
        <v>0.6958333333333333</v>
      </c>
    </row>
    <row r="121" spans="1:6" x14ac:dyDescent="0.3">
      <c r="A121" t="s">
        <v>504</v>
      </c>
      <c r="B121" t="s">
        <v>123</v>
      </c>
      <c r="C121">
        <v>4</v>
      </c>
      <c r="D121">
        <v>2024</v>
      </c>
      <c r="E121" cm="1">
        <f t="array" ref="E121">_xlfn.XLOOKUP(Table2[[#This Row],[college]]&amp;Table2[[#This Row],[division]]&amp;Table2[[#This Row],[year]],
Teams[college]&amp;Teams[division]&amp;Teams[year],
Teams[placing], "NA")</f>
        <v>1</v>
      </c>
      <c r="F121" s="1" cm="1">
        <f t="array" ref="F121">_xlfn.XLOOKUP(Table2[[#This Row],[college]]&amp;Table2[[#This Row],[division]]&amp;Table2[[#This Row],[year]],
Teams[college]&amp;Teams[division]&amp;Teams[year],
Teams[finish], "NA")</f>
        <v>0.60347222222222219</v>
      </c>
    </row>
    <row r="122" spans="1:6" x14ac:dyDescent="0.3">
      <c r="A122" t="s">
        <v>998</v>
      </c>
      <c r="B122" t="s">
        <v>48</v>
      </c>
      <c r="C122">
        <v>6</v>
      </c>
      <c r="D122">
        <v>2026</v>
      </c>
      <c r="E122" cm="1">
        <f t="array" ref="E122">_xlfn.XLOOKUP(Table2[[#This Row],[college]]&amp;Table2[[#This Row],[division]]&amp;Table2[[#This Row],[year]],
Teams[college]&amp;Teams[division]&amp;Teams[year],
Teams[placing], "NA")</f>
        <v>0</v>
      </c>
      <c r="F122" s="1" cm="1">
        <f t="array" ref="F122">_xlfn.XLOOKUP(Table2[[#This Row],[college]]&amp;Table2[[#This Row],[division]]&amp;Table2[[#This Row],[year]],
Teams[college]&amp;Teams[division]&amp;Teams[year],
Teams[finish], "NA")</f>
        <v>0</v>
      </c>
    </row>
    <row r="123" spans="1:6" x14ac:dyDescent="0.3">
      <c r="A123" t="s">
        <v>987</v>
      </c>
      <c r="B123" t="s">
        <v>5</v>
      </c>
      <c r="C123">
        <v>3</v>
      </c>
      <c r="D123">
        <v>2026</v>
      </c>
      <c r="E123" cm="1">
        <f t="array" ref="E123">_xlfn.XLOOKUP(Table2[[#This Row],[college]]&amp;Table2[[#This Row],[division]]&amp;Table2[[#This Row],[year]],
Teams[college]&amp;Teams[division]&amp;Teams[year],
Teams[placing], "NA")</f>
        <v>0</v>
      </c>
      <c r="F123" s="1" cm="1">
        <f t="array" ref="F123">_xlfn.XLOOKUP(Table2[[#This Row],[college]]&amp;Table2[[#This Row],[division]]&amp;Table2[[#This Row],[year]],
Teams[college]&amp;Teams[division]&amp;Teams[year],
Teams[finish], "NA")</f>
        <v>0</v>
      </c>
    </row>
    <row r="124" spans="1:6" x14ac:dyDescent="0.3">
      <c r="A124" t="s">
        <v>394</v>
      </c>
      <c r="B124" t="s">
        <v>19</v>
      </c>
      <c r="C124">
        <v>1</v>
      </c>
      <c r="D124">
        <v>2024</v>
      </c>
      <c r="E124" cm="1">
        <f t="array" ref="E124">_xlfn.XLOOKUP(Table2[[#This Row],[college]]&amp;Table2[[#This Row],[division]]&amp;Table2[[#This Row],[year]],
Teams[college]&amp;Teams[division]&amp;Teams[year],
Teams[placing], "NA")</f>
        <v>6</v>
      </c>
      <c r="F124" s="1" cm="1">
        <f t="array" ref="F124">_xlfn.XLOOKUP(Table2[[#This Row],[college]]&amp;Table2[[#This Row],[division]]&amp;Table2[[#This Row],[year]],
Teams[college]&amp;Teams[division]&amp;Teams[year],
Teams[finish], "NA")</f>
        <v>0.68402777777777779</v>
      </c>
    </row>
    <row r="125" spans="1:6" x14ac:dyDescent="0.3">
      <c r="A125" t="s">
        <v>394</v>
      </c>
      <c r="B125" t="s">
        <v>19</v>
      </c>
      <c r="C125">
        <v>1</v>
      </c>
      <c r="D125">
        <v>2023</v>
      </c>
      <c r="E125" t="str" cm="1">
        <f t="array" ref="E125">_xlfn.XLOOKUP(Table2[[#This Row],[college]]&amp;Table2[[#This Row],[division]]&amp;Table2[[#This Row],[year]],
Teams[college]&amp;Teams[division]&amp;Teams[year],
Teams[placing], "NA")</f>
        <v>DNF</v>
      </c>
      <c r="F125" s="1" t="str" cm="1">
        <f t="array" ref="F125">_xlfn.XLOOKUP(Table2[[#This Row],[college]]&amp;Table2[[#This Row],[division]]&amp;Table2[[#This Row],[year]],
Teams[college]&amp;Teams[division]&amp;Teams[year],
Teams[finish], "NA")</f>
        <v>NA</v>
      </c>
    </row>
    <row r="126" spans="1:6" x14ac:dyDescent="0.3">
      <c r="A126" t="s">
        <v>394</v>
      </c>
      <c r="B126" t="s">
        <v>19</v>
      </c>
      <c r="C126">
        <v>1</v>
      </c>
      <c r="D126">
        <v>2022</v>
      </c>
      <c r="E126" t="str" cm="1">
        <f t="array" ref="E126">_xlfn.XLOOKUP(Table2[[#This Row],[college]]&amp;Table2[[#This Row],[division]]&amp;Table2[[#This Row],[year]],
Teams[college]&amp;Teams[division]&amp;Teams[year],
Teams[placing], "NA")</f>
        <v>DNF</v>
      </c>
      <c r="F126" s="1" t="str" cm="1">
        <f t="array" ref="F126">_xlfn.XLOOKUP(Table2[[#This Row],[college]]&amp;Table2[[#This Row],[division]]&amp;Table2[[#This Row],[year]],
Teams[college]&amp;Teams[division]&amp;Teams[year],
Teams[finish], "NA")</f>
        <v>NA</v>
      </c>
    </row>
    <row r="127" spans="1:6" x14ac:dyDescent="0.3">
      <c r="A127" t="s">
        <v>694</v>
      </c>
      <c r="B127" t="s">
        <v>10</v>
      </c>
      <c r="C127">
        <v>6</v>
      </c>
      <c r="D127">
        <v>2022</v>
      </c>
      <c r="E127" cm="1">
        <f t="array" ref="E127">_xlfn.XLOOKUP(Table2[[#This Row],[college]]&amp;Table2[[#This Row],[division]]&amp;Table2[[#This Row],[year]],
Teams[college]&amp;Teams[division]&amp;Teams[year],
Teams[placing], "NA")</f>
        <v>3</v>
      </c>
      <c r="F127" s="1" cm="1">
        <f t="array" ref="F127">_xlfn.XLOOKUP(Table2[[#This Row],[college]]&amp;Table2[[#This Row],[division]]&amp;Table2[[#This Row],[year]],
Teams[college]&amp;Teams[division]&amp;Teams[year],
Teams[finish], "NA")</f>
        <v>0.49583333333333335</v>
      </c>
    </row>
    <row r="128" spans="1:6" x14ac:dyDescent="0.3">
      <c r="A128" t="s">
        <v>105</v>
      </c>
      <c r="B128" t="s">
        <v>15</v>
      </c>
      <c r="C128">
        <v>3</v>
      </c>
      <c r="D128">
        <v>2025</v>
      </c>
      <c r="E128" cm="1">
        <f t="array" ref="E128">_xlfn.XLOOKUP(Table2[[#This Row],[college]]&amp;Table2[[#This Row],[division]]&amp;Table2[[#This Row],[year]],
Teams[college]&amp;Teams[division]&amp;Teams[year],
Teams[placing], "NA")</f>
        <v>7</v>
      </c>
      <c r="F128" s="1" cm="1">
        <f t="array" ref="F128">_xlfn.XLOOKUP(Table2[[#This Row],[college]]&amp;Table2[[#This Row],[division]]&amp;Table2[[#This Row],[year]],
Teams[college]&amp;Teams[division]&amp;Teams[year],
Teams[finish], "NA")</f>
        <v>0.6333333333333333</v>
      </c>
    </row>
    <row r="129" spans="1:6" x14ac:dyDescent="0.3">
      <c r="A129" t="s">
        <v>105</v>
      </c>
      <c r="B129" t="s">
        <v>15</v>
      </c>
      <c r="C129">
        <v>3</v>
      </c>
      <c r="D129">
        <v>2026</v>
      </c>
      <c r="E129" cm="1">
        <f t="array" ref="E129">_xlfn.XLOOKUP(Table2[[#This Row],[college]]&amp;Table2[[#This Row],[division]]&amp;Table2[[#This Row],[year]],
Teams[college]&amp;Teams[division]&amp;Teams[year],
Teams[placing], "NA")</f>
        <v>0</v>
      </c>
      <c r="F129" s="1" cm="1">
        <f t="array" ref="F129">_xlfn.XLOOKUP(Table2[[#This Row],[college]]&amp;Table2[[#This Row],[division]]&amp;Table2[[#This Row],[year]],
Teams[college]&amp;Teams[division]&amp;Teams[year],
Teams[finish], "NA")</f>
        <v>0</v>
      </c>
    </row>
    <row r="130" spans="1:6" x14ac:dyDescent="0.3">
      <c r="A130" t="s">
        <v>510</v>
      </c>
      <c r="B130" t="s">
        <v>754</v>
      </c>
      <c r="C130">
        <v>6</v>
      </c>
      <c r="D130">
        <v>2023</v>
      </c>
      <c r="E130" t="str" cm="1">
        <f t="array" ref="E130">_xlfn.XLOOKUP(Table2[[#This Row],[college]]&amp;Table2[[#This Row],[division]]&amp;Table2[[#This Row],[year]],
Teams[college]&amp;Teams[division]&amp;Teams[year],
Teams[placing], "NA")</f>
        <v>NA</v>
      </c>
      <c r="F130" s="1" cm="1">
        <f t="array" ref="F130">_xlfn.XLOOKUP(Table2[[#This Row],[college]]&amp;Table2[[#This Row],[division]]&amp;Table2[[#This Row],[year]],
Teams[college]&amp;Teams[division]&amp;Teams[year],
Teams[finish], "NA")</f>
        <v>0.60416666666666663</v>
      </c>
    </row>
    <row r="131" spans="1:6" x14ac:dyDescent="0.3">
      <c r="A131" t="s">
        <v>863</v>
      </c>
      <c r="B131" t="s">
        <v>241</v>
      </c>
      <c r="C131">
        <v>4</v>
      </c>
      <c r="D131">
        <v>2026</v>
      </c>
      <c r="E131" cm="1">
        <f t="array" ref="E131">_xlfn.XLOOKUP(Table2[[#This Row],[college]]&amp;Table2[[#This Row],[division]]&amp;Table2[[#This Row],[year]],
Teams[college]&amp;Teams[division]&amp;Teams[year],
Teams[placing], "NA")</f>
        <v>0</v>
      </c>
      <c r="F131" s="1" cm="1">
        <f t="array" ref="F131">_xlfn.XLOOKUP(Table2[[#This Row],[college]]&amp;Table2[[#This Row],[division]]&amp;Table2[[#This Row],[year]],
Teams[college]&amp;Teams[division]&amp;Teams[year],
Teams[finish], "NA")</f>
        <v>0</v>
      </c>
    </row>
    <row r="132" spans="1:6" x14ac:dyDescent="0.3">
      <c r="A132" t="s">
        <v>772</v>
      </c>
      <c r="B132" t="s">
        <v>123</v>
      </c>
      <c r="C132">
        <v>4</v>
      </c>
      <c r="D132">
        <v>2026</v>
      </c>
      <c r="E132" cm="1">
        <f t="array" ref="E132">_xlfn.XLOOKUP(Table2[[#This Row],[college]]&amp;Table2[[#This Row],[division]]&amp;Table2[[#This Row],[year]],
Teams[college]&amp;Teams[division]&amp;Teams[year],
Teams[placing], "NA")</f>
        <v>0</v>
      </c>
      <c r="F132" s="1" cm="1">
        <f t="array" ref="F132">_xlfn.XLOOKUP(Table2[[#This Row],[college]]&amp;Table2[[#This Row],[division]]&amp;Table2[[#This Row],[year]],
Teams[college]&amp;Teams[division]&amp;Teams[year],
Teams[finish], "NA")</f>
        <v>0</v>
      </c>
    </row>
    <row r="133" spans="1:6" x14ac:dyDescent="0.3">
      <c r="A133" t="s">
        <v>995</v>
      </c>
      <c r="B133" t="s">
        <v>5</v>
      </c>
      <c r="C133">
        <v>6</v>
      </c>
      <c r="D133">
        <v>2026</v>
      </c>
      <c r="E133" cm="1">
        <f t="array" ref="E133">_xlfn.XLOOKUP(Table2[[#This Row],[college]]&amp;Table2[[#This Row],[division]]&amp;Table2[[#This Row],[year]],
Teams[college]&amp;Teams[division]&amp;Teams[year],
Teams[placing], "NA")</f>
        <v>0</v>
      </c>
      <c r="F133" s="1" cm="1">
        <f t="array" ref="F133">_xlfn.XLOOKUP(Table2[[#This Row],[college]]&amp;Table2[[#This Row],[division]]&amp;Table2[[#This Row],[year]],
Teams[college]&amp;Teams[division]&amp;Teams[year],
Teams[finish], "NA")</f>
        <v>0</v>
      </c>
    </row>
    <row r="134" spans="1:6" x14ac:dyDescent="0.3">
      <c r="A134" t="s">
        <v>642</v>
      </c>
      <c r="B134" t="s">
        <v>48</v>
      </c>
      <c r="C134">
        <v>6</v>
      </c>
      <c r="D134">
        <v>2023</v>
      </c>
      <c r="E134" cm="1">
        <f t="array" ref="E134">_xlfn.XLOOKUP(Table2[[#This Row],[college]]&amp;Table2[[#This Row],[division]]&amp;Table2[[#This Row],[year]],
Teams[college]&amp;Teams[division]&amp;Teams[year],
Teams[placing], "NA")</f>
        <v>6</v>
      </c>
      <c r="F134" s="1" cm="1">
        <f t="array" ref="F134">_xlfn.XLOOKUP(Table2[[#This Row],[college]]&amp;Table2[[#This Row],[division]]&amp;Table2[[#This Row],[year]],
Teams[college]&amp;Teams[division]&amp;Teams[year],
Teams[finish], "NA")</f>
        <v>0.66874999999999996</v>
      </c>
    </row>
    <row r="135" spans="1:6" x14ac:dyDescent="0.3">
      <c r="A135" t="s">
        <v>274</v>
      </c>
      <c r="B135" t="s">
        <v>266</v>
      </c>
      <c r="C135">
        <v>1</v>
      </c>
      <c r="D135">
        <v>2025</v>
      </c>
      <c r="E135" cm="1">
        <f t="array" ref="E135">_xlfn.XLOOKUP(Table2[[#This Row],[college]]&amp;Table2[[#This Row],[division]]&amp;Table2[[#This Row],[year]],
Teams[college]&amp;Teams[division]&amp;Teams[year],
Teams[placing], "NA")</f>
        <v>6</v>
      </c>
      <c r="F135" s="1" cm="1">
        <f t="array" ref="F135">_xlfn.XLOOKUP(Table2[[#This Row],[college]]&amp;Table2[[#This Row],[division]]&amp;Table2[[#This Row],[year]],
Teams[college]&amp;Teams[division]&amp;Teams[year],
Teams[finish], "NA")</f>
        <v>0.63541666666666663</v>
      </c>
    </row>
    <row r="136" spans="1:6" x14ac:dyDescent="0.3">
      <c r="A136" t="s">
        <v>274</v>
      </c>
      <c r="B136" t="s">
        <v>266</v>
      </c>
      <c r="C136">
        <v>1</v>
      </c>
      <c r="D136">
        <v>2024</v>
      </c>
      <c r="E136" cm="1">
        <f t="array" ref="E136">_xlfn.XLOOKUP(Table2[[#This Row],[college]]&amp;Table2[[#This Row],[division]]&amp;Table2[[#This Row],[year]],
Teams[college]&amp;Teams[division]&amp;Teams[year],
Teams[placing], "NA")</f>
        <v>7</v>
      </c>
      <c r="F136" s="1" cm="1">
        <f t="array" ref="F136">_xlfn.XLOOKUP(Table2[[#This Row],[college]]&amp;Table2[[#This Row],[division]]&amp;Table2[[#This Row],[year]],
Teams[college]&amp;Teams[division]&amp;Teams[year],
Teams[finish], "NA")</f>
        <v>0.69097222222222221</v>
      </c>
    </row>
    <row r="137" spans="1:6" x14ac:dyDescent="0.3">
      <c r="A137" t="s">
        <v>274</v>
      </c>
      <c r="B137" t="s">
        <v>266</v>
      </c>
      <c r="C137">
        <v>1</v>
      </c>
      <c r="D137">
        <v>2026</v>
      </c>
      <c r="E137" cm="1">
        <f t="array" ref="E137">_xlfn.XLOOKUP(Table2[[#This Row],[college]]&amp;Table2[[#This Row],[division]]&amp;Table2[[#This Row],[year]],
Teams[college]&amp;Teams[division]&amp;Teams[year],
Teams[placing], "NA")</f>
        <v>0</v>
      </c>
      <c r="F137" s="1" cm="1">
        <f t="array" ref="F137">_xlfn.XLOOKUP(Table2[[#This Row],[college]]&amp;Table2[[#This Row],[division]]&amp;Table2[[#This Row],[year]],
Teams[college]&amp;Teams[division]&amp;Teams[year],
Teams[finish], "NA")</f>
        <v>0</v>
      </c>
    </row>
    <row r="138" spans="1:6" x14ac:dyDescent="0.3">
      <c r="A138" t="s">
        <v>180</v>
      </c>
      <c r="B138" t="s">
        <v>15</v>
      </c>
      <c r="C138">
        <v>2</v>
      </c>
      <c r="D138">
        <v>2025</v>
      </c>
      <c r="E138" cm="1">
        <f t="array" ref="E138">_xlfn.XLOOKUP(Table2[[#This Row],[college]]&amp;Table2[[#This Row],[division]]&amp;Table2[[#This Row],[year]],
Teams[college]&amp;Teams[division]&amp;Teams[year],
Teams[placing], "NA")</f>
        <v>5</v>
      </c>
      <c r="F138" s="1" cm="1">
        <f t="array" ref="F138">_xlfn.XLOOKUP(Table2[[#This Row],[college]]&amp;Table2[[#This Row],[division]]&amp;Table2[[#This Row],[year]],
Teams[college]&amp;Teams[division]&amp;Teams[year],
Teams[finish], "NA")</f>
        <v>0.59027777777777779</v>
      </c>
    </row>
    <row r="139" spans="1:6" x14ac:dyDescent="0.3">
      <c r="A139" t="s">
        <v>568</v>
      </c>
      <c r="B139" t="s">
        <v>123</v>
      </c>
      <c r="C139">
        <v>6</v>
      </c>
      <c r="D139">
        <v>2022</v>
      </c>
      <c r="E139" cm="1">
        <f t="array" ref="E139">_xlfn.XLOOKUP(Table2[[#This Row],[college]]&amp;Table2[[#This Row],[division]]&amp;Table2[[#This Row],[year]],
Teams[college]&amp;Teams[division]&amp;Teams[year],
Teams[placing], "NA")</f>
        <v>1</v>
      </c>
      <c r="F139" s="1" cm="1">
        <f t="array" ref="F139">_xlfn.XLOOKUP(Table2[[#This Row],[college]]&amp;Table2[[#This Row],[division]]&amp;Table2[[#This Row],[year]],
Teams[college]&amp;Teams[division]&amp;Teams[year],
Teams[finish], "NA")</f>
        <v>0.48958333333333337</v>
      </c>
    </row>
    <row r="140" spans="1:6" x14ac:dyDescent="0.3">
      <c r="A140" t="s">
        <v>568</v>
      </c>
      <c r="B140" t="s">
        <v>123</v>
      </c>
      <c r="C140">
        <v>6</v>
      </c>
      <c r="D140">
        <v>2023</v>
      </c>
      <c r="E140" cm="1">
        <f t="array" ref="E140">_xlfn.XLOOKUP(Table2[[#This Row],[college]]&amp;Table2[[#This Row],[division]]&amp;Table2[[#This Row],[year]],
Teams[college]&amp;Teams[division]&amp;Teams[year],
Teams[placing], "NA")</f>
        <v>1</v>
      </c>
      <c r="F140" s="1" cm="1">
        <f t="array" ref="F140">_xlfn.XLOOKUP(Table2[[#This Row],[college]]&amp;Table2[[#This Row],[division]]&amp;Table2[[#This Row],[year]],
Teams[college]&amp;Teams[division]&amp;Teams[year],
Teams[finish], "NA")</f>
        <v>0.55208333333333337</v>
      </c>
    </row>
    <row r="141" spans="1:6" x14ac:dyDescent="0.3">
      <c r="A141" t="s">
        <v>4</v>
      </c>
      <c r="B141" t="s">
        <v>5</v>
      </c>
      <c r="C141">
        <v>6</v>
      </c>
      <c r="D141">
        <v>2025</v>
      </c>
      <c r="E141" cm="1">
        <f t="array" ref="E141">_xlfn.XLOOKUP(Table2[[#This Row],[college]]&amp;Table2[[#This Row],[division]]&amp;Table2[[#This Row],[year]],
Teams[college]&amp;Teams[division]&amp;Teams[year],
Teams[placing], "NA")</f>
        <v>7</v>
      </c>
      <c r="F141" s="1" cm="1">
        <f t="array" ref="F141">_xlfn.XLOOKUP(Table2[[#This Row],[college]]&amp;Table2[[#This Row],[division]]&amp;Table2[[#This Row],[year]],
Teams[college]&amp;Teams[division]&amp;Teams[year],
Teams[finish], "NA")</f>
        <v>0.59652777777777777</v>
      </c>
    </row>
    <row r="142" spans="1:6" x14ac:dyDescent="0.3">
      <c r="A142" t="s">
        <v>107</v>
      </c>
      <c r="B142" t="s">
        <v>15</v>
      </c>
      <c r="C142">
        <v>3</v>
      </c>
      <c r="D142">
        <v>2025</v>
      </c>
      <c r="E142" cm="1">
        <f t="array" ref="E142">_xlfn.XLOOKUP(Table2[[#This Row],[college]]&amp;Table2[[#This Row],[division]]&amp;Table2[[#This Row],[year]],
Teams[college]&amp;Teams[division]&amp;Teams[year],
Teams[placing], "NA")</f>
        <v>7</v>
      </c>
      <c r="F142" s="1" cm="1">
        <f t="array" ref="F142">_xlfn.XLOOKUP(Table2[[#This Row],[college]]&amp;Table2[[#This Row],[division]]&amp;Table2[[#This Row],[year]],
Teams[college]&amp;Teams[division]&amp;Teams[year],
Teams[finish], "NA")</f>
        <v>0.6333333333333333</v>
      </c>
    </row>
    <row r="143" spans="1:6" x14ac:dyDescent="0.3">
      <c r="A143" t="s">
        <v>627</v>
      </c>
      <c r="B143" t="s">
        <v>10</v>
      </c>
      <c r="C143">
        <v>3</v>
      </c>
      <c r="D143">
        <v>2023</v>
      </c>
      <c r="E143" cm="1">
        <f t="array" ref="E143">_xlfn.XLOOKUP(Table2[[#This Row],[college]]&amp;Table2[[#This Row],[division]]&amp;Table2[[#This Row],[year]],
Teams[college]&amp;Teams[division]&amp;Teams[year],
Teams[placing], "NA")</f>
        <v>2</v>
      </c>
      <c r="F143" s="1" cm="1">
        <f t="array" ref="F143">_xlfn.XLOOKUP(Table2[[#This Row],[college]]&amp;Table2[[#This Row],[division]]&amp;Table2[[#This Row],[year]],
Teams[college]&amp;Teams[division]&amp;Teams[year],
Teams[finish], "NA")</f>
        <v>0.59375</v>
      </c>
    </row>
    <row r="144" spans="1:6" x14ac:dyDescent="0.3">
      <c r="A144" t="s">
        <v>546</v>
      </c>
      <c r="B144" t="s">
        <v>15</v>
      </c>
      <c r="C144">
        <v>5</v>
      </c>
      <c r="D144">
        <v>2022</v>
      </c>
      <c r="E144" cm="1">
        <f t="array" ref="E144">_xlfn.XLOOKUP(Table2[[#This Row],[college]]&amp;Table2[[#This Row],[division]]&amp;Table2[[#This Row],[year]],
Teams[college]&amp;Teams[division]&amp;Teams[year],
Teams[placing], "NA")</f>
        <v>2</v>
      </c>
      <c r="F144" s="1" cm="1">
        <f t="array" ref="F144">_xlfn.XLOOKUP(Table2[[#This Row],[college]]&amp;Table2[[#This Row],[division]]&amp;Table2[[#This Row],[year]],
Teams[college]&amp;Teams[division]&amp;Teams[year],
Teams[finish], "NA")</f>
        <v>0.44722222222222219</v>
      </c>
    </row>
    <row r="145" spans="1:6" x14ac:dyDescent="0.3">
      <c r="A145" t="s">
        <v>546</v>
      </c>
      <c r="B145" t="s">
        <v>15</v>
      </c>
      <c r="C145">
        <v>2</v>
      </c>
      <c r="D145">
        <v>2023</v>
      </c>
      <c r="E145" cm="1">
        <f t="array" ref="E145">_xlfn.XLOOKUP(Table2[[#This Row],[college]]&amp;Table2[[#This Row],[division]]&amp;Table2[[#This Row],[year]],
Teams[college]&amp;Teams[division]&amp;Teams[year],
Teams[placing], "NA")</f>
        <v>2</v>
      </c>
      <c r="F145" s="1" cm="1">
        <f t="array" ref="F145">_xlfn.XLOOKUP(Table2[[#This Row],[college]]&amp;Table2[[#This Row],[division]]&amp;Table2[[#This Row],[year]],
Teams[college]&amp;Teams[division]&amp;Teams[year],
Teams[finish], "NA")</f>
        <v>0.49305555555555558</v>
      </c>
    </row>
    <row r="146" spans="1:6" x14ac:dyDescent="0.3">
      <c r="A146" t="s">
        <v>315</v>
      </c>
      <c r="B146" t="s">
        <v>241</v>
      </c>
      <c r="C146">
        <v>3</v>
      </c>
      <c r="D146">
        <v>2025</v>
      </c>
      <c r="E146" cm="1">
        <f t="array" ref="E146">_xlfn.XLOOKUP(Table2[[#This Row],[college]]&amp;Table2[[#This Row],[division]]&amp;Table2[[#This Row],[year]],
Teams[college]&amp;Teams[division]&amp;Teams[year],
Teams[placing], "NA")</f>
        <v>6</v>
      </c>
      <c r="F146" s="1" cm="1">
        <f t="array" ref="F146">_xlfn.XLOOKUP(Table2[[#This Row],[college]]&amp;Table2[[#This Row],[division]]&amp;Table2[[#This Row],[year]],
Teams[college]&amp;Teams[division]&amp;Teams[year],
Teams[finish], "NA")</f>
        <v>0.60972222222222228</v>
      </c>
    </row>
    <row r="147" spans="1:6" x14ac:dyDescent="0.3">
      <c r="A147" t="s">
        <v>489</v>
      </c>
      <c r="B147" t="s">
        <v>10</v>
      </c>
      <c r="C147">
        <v>7</v>
      </c>
      <c r="D147">
        <v>2024</v>
      </c>
      <c r="E147" cm="1">
        <f t="array" ref="E147">_xlfn.XLOOKUP(Table2[[#This Row],[college]]&amp;Table2[[#This Row],[division]]&amp;Table2[[#This Row],[year]],
Teams[college]&amp;Teams[division]&amp;Teams[year],
Teams[placing], "NA")</f>
        <v>5</v>
      </c>
      <c r="F147" s="1" cm="1">
        <f t="array" ref="F147">_xlfn.XLOOKUP(Table2[[#This Row],[college]]&amp;Table2[[#This Row],[division]]&amp;Table2[[#This Row],[year]],
Teams[college]&amp;Teams[division]&amp;Teams[year],
Teams[finish], "NA")</f>
        <v>0.69374999999999998</v>
      </c>
    </row>
    <row r="148" spans="1:6" x14ac:dyDescent="0.3">
      <c r="A148" t="s">
        <v>999</v>
      </c>
      <c r="B148" t="s">
        <v>48</v>
      </c>
      <c r="C148">
        <v>7</v>
      </c>
      <c r="D148">
        <v>2026</v>
      </c>
      <c r="E148" cm="1">
        <f t="array" ref="E148">_xlfn.XLOOKUP(Table2[[#This Row],[college]]&amp;Table2[[#This Row],[division]]&amp;Table2[[#This Row],[year]],
Teams[college]&amp;Teams[division]&amp;Teams[year],
Teams[placing], "NA")</f>
        <v>0</v>
      </c>
      <c r="F148" s="1" cm="1">
        <f t="array" ref="F148">_xlfn.XLOOKUP(Table2[[#This Row],[college]]&amp;Table2[[#This Row],[division]]&amp;Table2[[#This Row],[year]],
Teams[college]&amp;Teams[division]&amp;Teams[year],
Teams[finish], "NA")</f>
        <v>0</v>
      </c>
    </row>
    <row r="149" spans="1:6" x14ac:dyDescent="0.3">
      <c r="A149" t="s">
        <v>398</v>
      </c>
      <c r="B149" t="s">
        <v>15</v>
      </c>
      <c r="C149">
        <v>7</v>
      </c>
      <c r="D149">
        <v>2024</v>
      </c>
      <c r="E149" cm="1">
        <f t="array" ref="E149">_xlfn.XLOOKUP(Table2[[#This Row],[college]]&amp;Table2[[#This Row],[division]]&amp;Table2[[#This Row],[year]],
Teams[college]&amp;Teams[division]&amp;Teams[year],
Teams[placing], "NA")</f>
        <v>1</v>
      </c>
      <c r="F149" s="1" cm="1">
        <f t="array" ref="F149">_xlfn.XLOOKUP(Table2[[#This Row],[college]]&amp;Table2[[#This Row],[division]]&amp;Table2[[#This Row],[year]],
Teams[college]&amp;Teams[division]&amp;Teams[year],
Teams[finish], "NA")</f>
        <v>0.56527777777777777</v>
      </c>
    </row>
    <row r="150" spans="1:6" x14ac:dyDescent="0.3">
      <c r="A150" t="s">
        <v>295</v>
      </c>
      <c r="B150" t="s">
        <v>266</v>
      </c>
      <c r="C150">
        <v>7</v>
      </c>
      <c r="D150">
        <v>2025</v>
      </c>
      <c r="E150" cm="1">
        <f t="array" ref="E150">_xlfn.XLOOKUP(Table2[[#This Row],[college]]&amp;Table2[[#This Row],[division]]&amp;Table2[[#This Row],[year]],
Teams[college]&amp;Teams[division]&amp;Teams[year],
Teams[placing], "NA")</f>
        <v>6</v>
      </c>
      <c r="F150" s="1" cm="1">
        <f t="array" ref="F150">_xlfn.XLOOKUP(Table2[[#This Row],[college]]&amp;Table2[[#This Row],[division]]&amp;Table2[[#This Row],[year]],
Teams[college]&amp;Teams[division]&amp;Teams[year],
Teams[finish], "NA")</f>
        <v>0.51597222222222228</v>
      </c>
    </row>
    <row r="151" spans="1:6" x14ac:dyDescent="0.3">
      <c r="A151" t="s">
        <v>47</v>
      </c>
      <c r="B151" t="s">
        <v>48</v>
      </c>
      <c r="C151">
        <v>5</v>
      </c>
      <c r="D151">
        <v>2025</v>
      </c>
      <c r="E151" cm="1">
        <f t="array" ref="E151">_xlfn.XLOOKUP(Table2[[#This Row],[college]]&amp;Table2[[#This Row],[division]]&amp;Table2[[#This Row],[year]],
Teams[college]&amp;Teams[division]&amp;Teams[year],
Teams[placing], "NA")</f>
        <v>2</v>
      </c>
      <c r="F151" s="1" cm="1">
        <f t="array" ref="F151">_xlfn.XLOOKUP(Table2[[#This Row],[college]]&amp;Table2[[#This Row],[division]]&amp;Table2[[#This Row],[year]],
Teams[college]&amp;Teams[division]&amp;Teams[year],
Teams[finish], "NA")</f>
        <v>0.43819444444444444</v>
      </c>
    </row>
    <row r="152" spans="1:6" x14ac:dyDescent="0.3">
      <c r="A152" t="s">
        <v>47</v>
      </c>
      <c r="B152" t="s">
        <v>48</v>
      </c>
      <c r="C152">
        <v>6</v>
      </c>
      <c r="D152">
        <v>2022</v>
      </c>
      <c r="E152" cm="1">
        <f t="array" ref="E152">_xlfn.XLOOKUP(Table2[[#This Row],[college]]&amp;Table2[[#This Row],[division]]&amp;Table2[[#This Row],[year]],
Teams[college]&amp;Teams[division]&amp;Teams[year],
Teams[placing], "NA")</f>
        <v>7</v>
      </c>
      <c r="F152" s="1" cm="1">
        <f t="array" ref="F152">_xlfn.XLOOKUP(Table2[[#This Row],[college]]&amp;Table2[[#This Row],[division]]&amp;Table2[[#This Row],[year]],
Teams[college]&amp;Teams[division]&amp;Teams[year],
Teams[finish], "NA")</f>
        <v>0.64305555555555549</v>
      </c>
    </row>
    <row r="153" spans="1:6" x14ac:dyDescent="0.3">
      <c r="A153" t="s">
        <v>47</v>
      </c>
      <c r="B153" t="s">
        <v>48</v>
      </c>
      <c r="C153">
        <v>3</v>
      </c>
      <c r="D153">
        <v>2024</v>
      </c>
      <c r="E153" cm="1">
        <f t="array" ref="E153">_xlfn.XLOOKUP(Table2[[#This Row],[college]]&amp;Table2[[#This Row],[division]]&amp;Table2[[#This Row],[year]],
Teams[college]&amp;Teams[division]&amp;Teams[year],
Teams[placing], "NA")</f>
        <v>3</v>
      </c>
      <c r="F153" s="1" cm="1">
        <f t="array" ref="F153">_xlfn.XLOOKUP(Table2[[#This Row],[college]]&amp;Table2[[#This Row],[division]]&amp;Table2[[#This Row],[year]],
Teams[college]&amp;Teams[division]&amp;Teams[year],
Teams[finish], "NA")</f>
        <v>0.66111111111111109</v>
      </c>
    </row>
    <row r="154" spans="1:6" x14ac:dyDescent="0.3">
      <c r="A154" t="s">
        <v>47</v>
      </c>
      <c r="B154" t="s">
        <v>48</v>
      </c>
      <c r="C154">
        <v>6</v>
      </c>
      <c r="D154">
        <v>2023</v>
      </c>
      <c r="E154" cm="1">
        <f t="array" ref="E154">_xlfn.XLOOKUP(Table2[[#This Row],[college]]&amp;Table2[[#This Row],[division]]&amp;Table2[[#This Row],[year]],
Teams[college]&amp;Teams[division]&amp;Teams[year],
Teams[placing], "NA")</f>
        <v>6</v>
      </c>
      <c r="F154" s="1" cm="1">
        <f t="array" ref="F154">_xlfn.XLOOKUP(Table2[[#This Row],[college]]&amp;Table2[[#This Row],[division]]&amp;Table2[[#This Row],[year]],
Teams[college]&amp;Teams[division]&amp;Teams[year],
Teams[finish], "NA")</f>
        <v>0.66874999999999996</v>
      </c>
    </row>
    <row r="155" spans="1:6" x14ac:dyDescent="0.3">
      <c r="A155" t="s">
        <v>931</v>
      </c>
      <c r="B155" t="s">
        <v>19</v>
      </c>
      <c r="C155">
        <v>6</v>
      </c>
      <c r="D155">
        <v>2026</v>
      </c>
      <c r="E155" cm="1">
        <f t="array" ref="E155">_xlfn.XLOOKUP(Table2[[#This Row],[college]]&amp;Table2[[#This Row],[division]]&amp;Table2[[#This Row],[year]],
Teams[college]&amp;Teams[division]&amp;Teams[year],
Teams[placing], "NA")</f>
        <v>0</v>
      </c>
      <c r="F155" s="1" cm="1">
        <f t="array" ref="F155">_xlfn.XLOOKUP(Table2[[#This Row],[college]]&amp;Table2[[#This Row],[division]]&amp;Table2[[#This Row],[year]],
Teams[college]&amp;Teams[division]&amp;Teams[year],
Teams[finish], "NA")</f>
        <v>0</v>
      </c>
    </row>
    <row r="156" spans="1:6" x14ac:dyDescent="0.3">
      <c r="A156" t="s">
        <v>236</v>
      </c>
      <c r="B156" t="s">
        <v>10</v>
      </c>
      <c r="C156">
        <v>7</v>
      </c>
      <c r="D156">
        <v>2025</v>
      </c>
      <c r="E156" cm="1">
        <f t="array" ref="E156">_xlfn.XLOOKUP(Table2[[#This Row],[college]]&amp;Table2[[#This Row],[division]]&amp;Table2[[#This Row],[year]],
Teams[college]&amp;Teams[division]&amp;Teams[year],
Teams[placing], "NA")</f>
        <v>1</v>
      </c>
      <c r="F156" s="1" cm="1">
        <f t="array" ref="F156">_xlfn.XLOOKUP(Table2[[#This Row],[college]]&amp;Table2[[#This Row],[division]]&amp;Table2[[#This Row],[year]],
Teams[college]&amp;Teams[division]&amp;Teams[year],
Teams[finish], "NA")</f>
        <v>0.43333333333333335</v>
      </c>
    </row>
    <row r="157" spans="1:6" x14ac:dyDescent="0.3">
      <c r="A157" t="s">
        <v>236</v>
      </c>
      <c r="B157" t="s">
        <v>10</v>
      </c>
      <c r="C157">
        <v>1</v>
      </c>
      <c r="D157">
        <v>2024</v>
      </c>
      <c r="E157" cm="1">
        <f t="array" ref="E157">_xlfn.XLOOKUP(Table2[[#This Row],[college]]&amp;Table2[[#This Row],[division]]&amp;Table2[[#This Row],[year]],
Teams[college]&amp;Teams[division]&amp;Teams[year],
Teams[placing], "NA")</f>
        <v>5</v>
      </c>
      <c r="F157" s="1" cm="1">
        <f t="array" ref="F157">_xlfn.XLOOKUP(Table2[[#This Row],[college]]&amp;Table2[[#This Row],[division]]&amp;Table2[[#This Row],[year]],
Teams[college]&amp;Teams[division]&amp;Teams[year],
Teams[finish], "NA")</f>
        <v>0.62638888888888888</v>
      </c>
    </row>
    <row r="158" spans="1:6" x14ac:dyDescent="0.3">
      <c r="A158" t="s">
        <v>678</v>
      </c>
      <c r="B158" t="s">
        <v>15</v>
      </c>
      <c r="C158">
        <v>4</v>
      </c>
      <c r="D158">
        <v>2022</v>
      </c>
      <c r="E158" cm="1">
        <f t="array" ref="E158">_xlfn.XLOOKUP(Table2[[#This Row],[college]]&amp;Table2[[#This Row],[division]]&amp;Table2[[#This Row],[year]],
Teams[college]&amp;Teams[division]&amp;Teams[year],
Teams[placing], "NA")</f>
        <v>1</v>
      </c>
      <c r="F158" s="1" cm="1">
        <f t="array" ref="F158">_xlfn.XLOOKUP(Table2[[#This Row],[college]]&amp;Table2[[#This Row],[division]]&amp;Table2[[#This Row],[year]],
Teams[college]&amp;Teams[division]&amp;Teams[year],
Teams[finish], "NA")</f>
        <v>0.4284722222222222</v>
      </c>
    </row>
    <row r="159" spans="1:6" x14ac:dyDescent="0.3">
      <c r="A159" t="s">
        <v>731</v>
      </c>
      <c r="B159" t="s">
        <v>266</v>
      </c>
      <c r="C159">
        <v>5</v>
      </c>
      <c r="D159">
        <v>2022</v>
      </c>
      <c r="E159" cm="1">
        <f t="array" ref="E159">_xlfn.XLOOKUP(Table2[[#This Row],[college]]&amp;Table2[[#This Row],[division]]&amp;Table2[[#This Row],[year]],
Teams[college]&amp;Teams[division]&amp;Teams[year],
Teams[placing], "NA")</f>
        <v>8</v>
      </c>
      <c r="F159" s="1" cm="1">
        <f t="array" ref="F159">_xlfn.XLOOKUP(Table2[[#This Row],[college]]&amp;Table2[[#This Row],[division]]&amp;Table2[[#This Row],[year]],
Teams[college]&amp;Teams[division]&amp;Teams[year],
Teams[finish], "NA")</f>
        <v>0.6381944444444444</v>
      </c>
    </row>
    <row r="160" spans="1:6" x14ac:dyDescent="0.3">
      <c r="A160" t="s">
        <v>358</v>
      </c>
      <c r="B160" t="s">
        <v>132</v>
      </c>
      <c r="C160">
        <v>3</v>
      </c>
      <c r="D160">
        <v>2025</v>
      </c>
      <c r="E160" cm="1">
        <f t="array" ref="E160">_xlfn.XLOOKUP(Table2[[#This Row],[college]]&amp;Table2[[#This Row],[division]]&amp;Table2[[#This Row],[year]],
Teams[college]&amp;Teams[division]&amp;Teams[year],
Teams[placing], "NA")</f>
        <v>4</v>
      </c>
      <c r="F160" s="1" cm="1">
        <f t="array" ref="F160">_xlfn.XLOOKUP(Table2[[#This Row],[college]]&amp;Table2[[#This Row],[division]]&amp;Table2[[#This Row],[year]],
Teams[college]&amp;Teams[division]&amp;Teams[year],
Teams[finish], "NA")</f>
        <v>0.53541666666666665</v>
      </c>
    </row>
    <row r="161" spans="1:6" x14ac:dyDescent="0.3">
      <c r="A161" t="s">
        <v>358</v>
      </c>
      <c r="B161" t="s">
        <v>132</v>
      </c>
      <c r="C161">
        <v>6</v>
      </c>
      <c r="D161">
        <v>2024</v>
      </c>
      <c r="E161" cm="1">
        <f t="array" ref="E161">_xlfn.XLOOKUP(Table2[[#This Row],[college]]&amp;Table2[[#This Row],[division]]&amp;Table2[[#This Row],[year]],
Teams[college]&amp;Teams[division]&amp;Teams[year],
Teams[placing], "NA")</f>
        <v>4</v>
      </c>
      <c r="F161" s="1" cm="1">
        <f t="array" ref="F161">_xlfn.XLOOKUP(Table2[[#This Row],[college]]&amp;Table2[[#This Row],[division]]&amp;Table2[[#This Row],[year]],
Teams[college]&amp;Teams[division]&amp;Teams[year],
Teams[finish], "NA")</f>
        <v>0.63472222222222219</v>
      </c>
    </row>
    <row r="162" spans="1:6" x14ac:dyDescent="0.3">
      <c r="A162" t="s">
        <v>358</v>
      </c>
      <c r="B162" t="s">
        <v>132</v>
      </c>
      <c r="C162">
        <v>3</v>
      </c>
      <c r="D162">
        <v>2023</v>
      </c>
      <c r="E162" t="str" cm="1">
        <f t="array" ref="E162">_xlfn.XLOOKUP(Table2[[#This Row],[college]]&amp;Table2[[#This Row],[division]]&amp;Table2[[#This Row],[year]],
Teams[college]&amp;Teams[division]&amp;Teams[year],
Teams[placing], "NA")</f>
        <v>DNF</v>
      </c>
      <c r="F162" s="1" t="str" cm="1">
        <f t="array" ref="F162">_xlfn.XLOOKUP(Table2[[#This Row],[college]]&amp;Table2[[#This Row],[division]]&amp;Table2[[#This Row],[year]],
Teams[college]&amp;Teams[division]&amp;Teams[year],
Teams[finish], "NA")</f>
        <v>NA</v>
      </c>
    </row>
    <row r="163" spans="1:6" x14ac:dyDescent="0.3">
      <c r="A163" t="s">
        <v>844</v>
      </c>
      <c r="B163" t="s">
        <v>19</v>
      </c>
      <c r="C163">
        <v>3</v>
      </c>
      <c r="D163">
        <v>2026</v>
      </c>
      <c r="E163" cm="1">
        <f t="array" ref="E163">_xlfn.XLOOKUP(Table2[[#This Row],[college]]&amp;Table2[[#This Row],[division]]&amp;Table2[[#This Row],[year]],
Teams[college]&amp;Teams[division]&amp;Teams[year],
Teams[placing], "NA")</f>
        <v>0</v>
      </c>
      <c r="F163" s="1" cm="1">
        <f t="array" ref="F163">_xlfn.XLOOKUP(Table2[[#This Row],[college]]&amp;Table2[[#This Row],[division]]&amp;Table2[[#This Row],[year]],
Teams[college]&amp;Teams[division]&amp;Teams[year],
Teams[finish], "NA")</f>
        <v>0</v>
      </c>
    </row>
    <row r="164" spans="1:6" x14ac:dyDescent="0.3">
      <c r="A164" t="s">
        <v>86</v>
      </c>
      <c r="B164" t="s">
        <v>755</v>
      </c>
      <c r="C164">
        <v>5</v>
      </c>
      <c r="D164">
        <v>2025</v>
      </c>
      <c r="E164" t="str" cm="1">
        <f t="array" ref="E164">_xlfn.XLOOKUP(Table2[[#This Row],[college]]&amp;Table2[[#This Row],[division]]&amp;Table2[[#This Row],[year]],
Teams[college]&amp;Teams[division]&amp;Teams[year],
Teams[placing], "NA")</f>
        <v>NA</v>
      </c>
      <c r="F164" s="1" cm="1">
        <f t="array" ref="F164">_xlfn.XLOOKUP(Table2[[#This Row],[college]]&amp;Table2[[#This Row],[division]]&amp;Table2[[#This Row],[year]],
Teams[college]&amp;Teams[division]&amp;Teams[year],
Teams[finish], "NA")</f>
        <v>0.50208333333333333</v>
      </c>
    </row>
    <row r="165" spans="1:6" x14ac:dyDescent="0.3">
      <c r="A165" t="s">
        <v>805</v>
      </c>
      <c r="B165" t="s">
        <v>19</v>
      </c>
      <c r="C165">
        <v>2</v>
      </c>
      <c r="D165">
        <v>2026</v>
      </c>
      <c r="E165" cm="1">
        <f t="array" ref="E165">_xlfn.XLOOKUP(Table2[[#This Row],[college]]&amp;Table2[[#This Row],[division]]&amp;Table2[[#This Row],[year]],
Teams[college]&amp;Teams[division]&amp;Teams[year],
Teams[placing], "NA")</f>
        <v>0</v>
      </c>
      <c r="F165" s="1" cm="1">
        <f t="array" ref="F165">_xlfn.XLOOKUP(Table2[[#This Row],[college]]&amp;Table2[[#This Row],[division]]&amp;Table2[[#This Row],[year]],
Teams[college]&amp;Teams[division]&amp;Teams[year],
Teams[finish], "NA")</f>
        <v>0</v>
      </c>
    </row>
    <row r="166" spans="1:6" x14ac:dyDescent="0.3">
      <c r="A166" t="s">
        <v>509</v>
      </c>
      <c r="B166" t="s">
        <v>250</v>
      </c>
      <c r="C166">
        <v>6</v>
      </c>
      <c r="D166">
        <v>2022</v>
      </c>
      <c r="E166" cm="1">
        <f t="array" ref="E166">_xlfn.XLOOKUP(Table2[[#This Row],[college]]&amp;Table2[[#This Row],[division]]&amp;Table2[[#This Row],[year]],
Teams[college]&amp;Teams[division]&amp;Teams[year],
Teams[placing], "NA")</f>
        <v>5</v>
      </c>
      <c r="F166" s="1" cm="1">
        <f t="array" ref="F166">_xlfn.XLOOKUP(Table2[[#This Row],[college]]&amp;Table2[[#This Row],[division]]&amp;Table2[[#This Row],[year]],
Teams[college]&amp;Teams[division]&amp;Teams[year],
Teams[finish], "NA")</f>
        <v>0.52847222222222223</v>
      </c>
    </row>
    <row r="167" spans="1:6" x14ac:dyDescent="0.3">
      <c r="A167" t="s">
        <v>509</v>
      </c>
      <c r="B167" t="s">
        <v>250</v>
      </c>
      <c r="C167">
        <v>1</v>
      </c>
      <c r="D167">
        <v>2023</v>
      </c>
      <c r="E167" cm="1">
        <f t="array" ref="E167">_xlfn.XLOOKUP(Table2[[#This Row],[college]]&amp;Table2[[#This Row],[division]]&amp;Table2[[#This Row],[year]],
Teams[college]&amp;Teams[division]&amp;Teams[year],
Teams[placing], "NA")</f>
        <v>2</v>
      </c>
      <c r="F167" s="1" cm="1">
        <f t="array" ref="F167">_xlfn.XLOOKUP(Table2[[#This Row],[college]]&amp;Table2[[#This Row],[division]]&amp;Table2[[#This Row],[year]],
Teams[college]&amp;Teams[division]&amp;Teams[year],
Teams[finish], "NA")</f>
        <v>0.65416666666666667</v>
      </c>
    </row>
    <row r="168" spans="1:6" x14ac:dyDescent="0.3">
      <c r="A168" t="s">
        <v>631</v>
      </c>
      <c r="B168" t="s">
        <v>123</v>
      </c>
      <c r="C168">
        <v>5</v>
      </c>
      <c r="D168">
        <v>2022</v>
      </c>
      <c r="E168" cm="1">
        <f t="array" ref="E168">_xlfn.XLOOKUP(Table2[[#This Row],[college]]&amp;Table2[[#This Row],[division]]&amp;Table2[[#This Row],[year]],
Teams[college]&amp;Teams[division]&amp;Teams[year],
Teams[placing], "NA")</f>
        <v>1</v>
      </c>
      <c r="F168" s="1" cm="1">
        <f t="array" ref="F168">_xlfn.XLOOKUP(Table2[[#This Row],[college]]&amp;Table2[[#This Row],[division]]&amp;Table2[[#This Row],[year]],
Teams[college]&amp;Teams[division]&amp;Teams[year],
Teams[finish], "NA")</f>
        <v>0.44305555555555554</v>
      </c>
    </row>
    <row r="169" spans="1:6" x14ac:dyDescent="0.3">
      <c r="A169" t="s">
        <v>631</v>
      </c>
      <c r="B169" t="s">
        <v>123</v>
      </c>
      <c r="C169">
        <v>2</v>
      </c>
      <c r="D169">
        <v>2023</v>
      </c>
      <c r="E169" cm="1">
        <f t="array" ref="E169">_xlfn.XLOOKUP(Table2[[#This Row],[college]]&amp;Table2[[#This Row],[division]]&amp;Table2[[#This Row],[year]],
Teams[college]&amp;Teams[division]&amp;Teams[year],
Teams[placing], "NA")</f>
        <v>1</v>
      </c>
      <c r="F169" s="1" cm="1">
        <f t="array" ref="F169">_xlfn.XLOOKUP(Table2[[#This Row],[college]]&amp;Table2[[#This Row],[division]]&amp;Table2[[#This Row],[year]],
Teams[college]&amp;Teams[division]&amp;Teams[year],
Teams[finish], "NA")</f>
        <v>0.47013888888888888</v>
      </c>
    </row>
    <row r="170" spans="1:6" x14ac:dyDescent="0.3">
      <c r="A170" t="s">
        <v>631</v>
      </c>
      <c r="B170" t="s">
        <v>123</v>
      </c>
      <c r="C170">
        <v>5</v>
      </c>
      <c r="D170">
        <v>2024</v>
      </c>
      <c r="E170" cm="1">
        <f t="array" ref="E170">_xlfn.XLOOKUP(Table2[[#This Row],[college]]&amp;Table2[[#This Row],[division]]&amp;Table2[[#This Row],[year]],
Teams[college]&amp;Teams[division]&amp;Teams[year],
Teams[placing], "NA")</f>
        <v>1</v>
      </c>
      <c r="F170" s="1" cm="1">
        <f t="array" ref="F170">_xlfn.XLOOKUP(Table2[[#This Row],[college]]&amp;Table2[[#This Row],[division]]&amp;Table2[[#This Row],[year]],
Teams[college]&amp;Teams[division]&amp;Teams[year],
Teams[finish], "NA")</f>
        <v>0.53888888888888886</v>
      </c>
    </row>
    <row r="171" spans="1:6" x14ac:dyDescent="0.3">
      <c r="A171" t="s">
        <v>212</v>
      </c>
      <c r="B171" t="s">
        <v>137</v>
      </c>
      <c r="C171">
        <v>4</v>
      </c>
      <c r="D171">
        <v>2025</v>
      </c>
      <c r="E171" cm="1">
        <f t="array" ref="E171">_xlfn.XLOOKUP(Table2[[#This Row],[college]]&amp;Table2[[#This Row],[division]]&amp;Table2[[#This Row],[year]],
Teams[college]&amp;Teams[division]&amp;Teams[year],
Teams[placing], "NA")</f>
        <v>3</v>
      </c>
      <c r="F171" s="1" cm="1">
        <f t="array" ref="F171">_xlfn.XLOOKUP(Table2[[#This Row],[college]]&amp;Table2[[#This Row],[division]]&amp;Table2[[#This Row],[year]],
Teams[college]&amp;Teams[division]&amp;Teams[year],
Teams[finish], "NA")</f>
        <v>0.59236111111111112</v>
      </c>
    </row>
    <row r="172" spans="1:6" x14ac:dyDescent="0.3">
      <c r="A172" t="s">
        <v>653</v>
      </c>
      <c r="B172" t="s">
        <v>266</v>
      </c>
      <c r="C172">
        <v>4</v>
      </c>
      <c r="D172">
        <v>2022</v>
      </c>
      <c r="E172" cm="1">
        <f t="array" ref="E172">_xlfn.XLOOKUP(Table2[[#This Row],[college]]&amp;Table2[[#This Row],[division]]&amp;Table2[[#This Row],[year]],
Teams[college]&amp;Teams[division]&amp;Teams[year],
Teams[placing], "NA")</f>
        <v>3</v>
      </c>
      <c r="F172" s="1" cm="1">
        <f t="array" ref="F172">_xlfn.XLOOKUP(Table2[[#This Row],[college]]&amp;Table2[[#This Row],[division]]&amp;Table2[[#This Row],[year]],
Teams[college]&amp;Teams[division]&amp;Teams[year],
Teams[finish], "NA")</f>
        <v>0.44791666666666669</v>
      </c>
    </row>
    <row r="173" spans="1:6" x14ac:dyDescent="0.3">
      <c r="A173" t="s">
        <v>653</v>
      </c>
      <c r="B173" t="s">
        <v>755</v>
      </c>
      <c r="C173">
        <v>4</v>
      </c>
      <c r="D173">
        <v>2023</v>
      </c>
      <c r="E173" t="str" cm="1">
        <f t="array" ref="E173">_xlfn.XLOOKUP(Table2[[#This Row],[college]]&amp;Table2[[#This Row],[division]]&amp;Table2[[#This Row],[year]],
Teams[college]&amp;Teams[division]&amp;Teams[year],
Teams[placing], "NA")</f>
        <v>DNF</v>
      </c>
      <c r="F173" s="1" t="str" cm="1">
        <f t="array" ref="F173">_xlfn.XLOOKUP(Table2[[#This Row],[college]]&amp;Table2[[#This Row],[division]]&amp;Table2[[#This Row],[year]],
Teams[college]&amp;Teams[division]&amp;Teams[year],
Teams[finish], "NA")</f>
        <v>NA</v>
      </c>
    </row>
    <row r="174" spans="1:6" x14ac:dyDescent="0.3">
      <c r="A174" t="s">
        <v>467</v>
      </c>
      <c r="B174" t="s">
        <v>755</v>
      </c>
      <c r="C174">
        <v>5</v>
      </c>
      <c r="D174">
        <v>2024</v>
      </c>
      <c r="E174" t="str" cm="1">
        <f t="array" ref="E174">_xlfn.XLOOKUP(Table2[[#This Row],[college]]&amp;Table2[[#This Row],[division]]&amp;Table2[[#This Row],[year]],
Teams[college]&amp;Teams[division]&amp;Teams[year],
Teams[placing], "NA")</f>
        <v>NA</v>
      </c>
      <c r="F174" s="1" cm="1">
        <f t="array" ref="F174">_xlfn.XLOOKUP(Table2[[#This Row],[college]]&amp;Table2[[#This Row],[division]]&amp;Table2[[#This Row],[year]],
Teams[college]&amp;Teams[division]&amp;Teams[year],
Teams[finish], "NA")</f>
        <v>0.60069444444444442</v>
      </c>
    </row>
    <row r="175" spans="1:6" x14ac:dyDescent="0.3">
      <c r="A175" t="s">
        <v>459</v>
      </c>
      <c r="B175" t="s">
        <v>19</v>
      </c>
      <c r="C175">
        <v>4</v>
      </c>
      <c r="D175">
        <v>2024</v>
      </c>
      <c r="E175" cm="1">
        <f t="array" ref="E175">_xlfn.XLOOKUP(Table2[[#This Row],[college]]&amp;Table2[[#This Row],[division]]&amp;Table2[[#This Row],[year]],
Teams[college]&amp;Teams[division]&amp;Teams[year],
Teams[placing], "NA")</f>
        <v>5</v>
      </c>
      <c r="F175" s="1" cm="1">
        <f t="array" ref="F175">_xlfn.XLOOKUP(Table2[[#This Row],[college]]&amp;Table2[[#This Row],[division]]&amp;Table2[[#This Row],[year]],
Teams[college]&amp;Teams[division]&amp;Teams[year],
Teams[finish], "NA")</f>
        <v>0.65833333333333333</v>
      </c>
    </row>
    <row r="176" spans="1:6" x14ac:dyDescent="0.3">
      <c r="A176" t="s">
        <v>305</v>
      </c>
      <c r="B176" t="s">
        <v>755</v>
      </c>
      <c r="C176">
        <v>6</v>
      </c>
      <c r="D176">
        <v>2025</v>
      </c>
      <c r="E176" t="str" cm="1">
        <f t="array" ref="E176">_xlfn.XLOOKUP(Table2[[#This Row],[college]]&amp;Table2[[#This Row],[division]]&amp;Table2[[#This Row],[year]],
Teams[college]&amp;Teams[division]&amp;Teams[year],
Teams[placing], "NA")</f>
        <v>NA</v>
      </c>
      <c r="F176" s="1" cm="1">
        <f t="array" ref="F176">_xlfn.XLOOKUP(Table2[[#This Row],[college]]&amp;Table2[[#This Row],[division]]&amp;Table2[[#This Row],[year]],
Teams[college]&amp;Teams[division]&amp;Teams[year],
Teams[finish], "NA")</f>
        <v>0.55000000000000004</v>
      </c>
    </row>
    <row r="177" spans="1:6" x14ac:dyDescent="0.3">
      <c r="A177" t="s">
        <v>124</v>
      </c>
      <c r="B177" t="s">
        <v>123</v>
      </c>
      <c r="C177">
        <v>3</v>
      </c>
      <c r="D177">
        <v>2025</v>
      </c>
      <c r="E177" cm="1">
        <f t="array" ref="E177">_xlfn.XLOOKUP(Table2[[#This Row],[college]]&amp;Table2[[#This Row],[division]]&amp;Table2[[#This Row],[year]],
Teams[college]&amp;Teams[division]&amp;Teams[year],
Teams[placing], "NA")</f>
        <v>2</v>
      </c>
      <c r="F177" s="1" cm="1">
        <f t="array" ref="F177">_xlfn.XLOOKUP(Table2[[#This Row],[college]]&amp;Table2[[#This Row],[division]]&amp;Table2[[#This Row],[year]],
Teams[college]&amp;Teams[division]&amp;Teams[year],
Teams[finish], "NA")</f>
        <v>0.52083333333333337</v>
      </c>
    </row>
    <row r="178" spans="1:6" x14ac:dyDescent="0.3">
      <c r="A178" t="s">
        <v>74</v>
      </c>
      <c r="B178" t="s">
        <v>19</v>
      </c>
      <c r="C178">
        <v>2</v>
      </c>
      <c r="D178">
        <v>2025</v>
      </c>
      <c r="E178" cm="1">
        <f t="array" ref="E178">_xlfn.XLOOKUP(Table2[[#This Row],[college]]&amp;Table2[[#This Row],[division]]&amp;Table2[[#This Row],[year]],
Teams[college]&amp;Teams[division]&amp;Teams[year],
Teams[placing], "NA")</f>
        <v>4</v>
      </c>
      <c r="F178" s="1" cm="1">
        <f t="array" ref="F178">_xlfn.XLOOKUP(Table2[[#This Row],[college]]&amp;Table2[[#This Row],[division]]&amp;Table2[[#This Row],[year]],
Teams[college]&amp;Teams[division]&amp;Teams[year],
Teams[finish], "NA")</f>
        <v>0.57013888888888886</v>
      </c>
    </row>
    <row r="179" spans="1:6" x14ac:dyDescent="0.3">
      <c r="A179" t="s">
        <v>618</v>
      </c>
      <c r="B179" t="s">
        <v>132</v>
      </c>
      <c r="C179">
        <v>7</v>
      </c>
      <c r="D179">
        <v>2022</v>
      </c>
      <c r="E179" cm="1">
        <f t="array" ref="E179">_xlfn.XLOOKUP(Table2[[#This Row],[college]]&amp;Table2[[#This Row],[division]]&amp;Table2[[#This Row],[year]],
Teams[college]&amp;Teams[division]&amp;Teams[year],
Teams[placing], "NA")</f>
        <v>2</v>
      </c>
      <c r="F179" s="1" cm="1">
        <f t="array" ref="F179">_xlfn.XLOOKUP(Table2[[#This Row],[college]]&amp;Table2[[#This Row],[division]]&amp;Table2[[#This Row],[year]],
Teams[college]&amp;Teams[division]&amp;Teams[year],
Teams[finish], "NA")</f>
        <v>0.45486111111111116</v>
      </c>
    </row>
    <row r="180" spans="1:6" x14ac:dyDescent="0.3">
      <c r="A180" t="s">
        <v>618</v>
      </c>
      <c r="B180" t="s">
        <v>132</v>
      </c>
      <c r="C180">
        <v>6</v>
      </c>
      <c r="D180">
        <v>2023</v>
      </c>
      <c r="E180" t="str" cm="1">
        <f t="array" ref="E180">_xlfn.XLOOKUP(Table2[[#This Row],[college]]&amp;Table2[[#This Row],[division]]&amp;Table2[[#This Row],[year]],
Teams[college]&amp;Teams[division]&amp;Teams[year],
Teams[placing], "NA")</f>
        <v>DNF</v>
      </c>
      <c r="F180" s="1" t="str" cm="1">
        <f t="array" ref="F180">_xlfn.XLOOKUP(Table2[[#This Row],[college]]&amp;Table2[[#This Row],[division]]&amp;Table2[[#This Row],[year]],
Teams[college]&amp;Teams[division]&amp;Teams[year],
Teams[finish], "NA")</f>
        <v>NA</v>
      </c>
    </row>
    <row r="181" spans="1:6" x14ac:dyDescent="0.3">
      <c r="A181" t="s">
        <v>837</v>
      </c>
      <c r="B181" t="s">
        <v>15</v>
      </c>
      <c r="C181">
        <v>3</v>
      </c>
      <c r="D181">
        <v>2026</v>
      </c>
      <c r="E181" cm="1">
        <f t="array" ref="E181">_xlfn.XLOOKUP(Table2[[#This Row],[college]]&amp;Table2[[#This Row],[division]]&amp;Table2[[#This Row],[year]],
Teams[college]&amp;Teams[division]&amp;Teams[year],
Teams[placing], "NA")</f>
        <v>0</v>
      </c>
      <c r="F181" s="1" cm="1">
        <f t="array" ref="F181">_xlfn.XLOOKUP(Table2[[#This Row],[college]]&amp;Table2[[#This Row],[division]]&amp;Table2[[#This Row],[year]],
Teams[college]&amp;Teams[division]&amp;Teams[year],
Teams[finish], "NA")</f>
        <v>0</v>
      </c>
    </row>
    <row r="182" spans="1:6" x14ac:dyDescent="0.3">
      <c r="A182" t="s">
        <v>192</v>
      </c>
      <c r="B182" t="s">
        <v>132</v>
      </c>
      <c r="C182">
        <v>7</v>
      </c>
      <c r="D182">
        <v>2025</v>
      </c>
      <c r="E182" cm="1">
        <f t="array" ref="E182">_xlfn.XLOOKUP(Table2[[#This Row],[college]]&amp;Table2[[#This Row],[division]]&amp;Table2[[#This Row],[year]],
Teams[college]&amp;Teams[division]&amp;Teams[year],
Teams[placing], "NA")</f>
        <v>2</v>
      </c>
      <c r="F182" s="1" cm="1">
        <f t="array" ref="F182">_xlfn.XLOOKUP(Table2[[#This Row],[college]]&amp;Table2[[#This Row],[division]]&amp;Table2[[#This Row],[year]],
Teams[college]&amp;Teams[division]&amp;Teams[year],
Teams[finish], "NA")</f>
        <v>0.48402777777777778</v>
      </c>
    </row>
    <row r="183" spans="1:6" x14ac:dyDescent="0.3">
      <c r="A183" t="s">
        <v>192</v>
      </c>
      <c r="B183" t="s">
        <v>132</v>
      </c>
      <c r="C183">
        <v>5</v>
      </c>
      <c r="D183">
        <v>2024</v>
      </c>
      <c r="E183" cm="1">
        <f t="array" ref="E183">_xlfn.XLOOKUP(Table2[[#This Row],[college]]&amp;Table2[[#This Row],[division]]&amp;Table2[[#This Row],[year]],
Teams[college]&amp;Teams[division]&amp;Teams[year],
Teams[placing], "NA")</f>
        <v>4</v>
      </c>
      <c r="F183" s="1" cm="1">
        <f t="array" ref="F183">_xlfn.XLOOKUP(Table2[[#This Row],[college]]&amp;Table2[[#This Row],[division]]&amp;Table2[[#This Row],[year]],
Teams[college]&amp;Teams[division]&amp;Teams[year],
Teams[finish], "NA")</f>
        <v>0.61250000000000004</v>
      </c>
    </row>
    <row r="184" spans="1:6" x14ac:dyDescent="0.3">
      <c r="A184" t="s">
        <v>392</v>
      </c>
      <c r="B184" t="s">
        <v>123</v>
      </c>
      <c r="C184">
        <v>2</v>
      </c>
      <c r="D184">
        <v>2023</v>
      </c>
      <c r="E184" cm="1">
        <f t="array" ref="E184">_xlfn.XLOOKUP(Table2[[#This Row],[college]]&amp;Table2[[#This Row],[division]]&amp;Table2[[#This Row],[year]],
Teams[college]&amp;Teams[division]&amp;Teams[year],
Teams[placing], "NA")</f>
        <v>1</v>
      </c>
      <c r="F184" s="1" cm="1">
        <f t="array" ref="F184">_xlfn.XLOOKUP(Table2[[#This Row],[college]]&amp;Table2[[#This Row],[division]]&amp;Table2[[#This Row],[year]],
Teams[college]&amp;Teams[division]&amp;Teams[year],
Teams[finish], "NA")</f>
        <v>0.47013888888888888</v>
      </c>
    </row>
    <row r="185" spans="1:6" x14ac:dyDescent="0.3">
      <c r="A185" t="s">
        <v>392</v>
      </c>
      <c r="B185" t="s">
        <v>123</v>
      </c>
      <c r="C185">
        <v>2</v>
      </c>
      <c r="D185">
        <v>2024</v>
      </c>
      <c r="E185" cm="1">
        <f t="array" ref="E185">_xlfn.XLOOKUP(Table2[[#This Row],[college]]&amp;Table2[[#This Row],[division]]&amp;Table2[[#This Row],[year]],
Teams[college]&amp;Teams[division]&amp;Teams[year],
Teams[placing], "NA")</f>
        <v>1</v>
      </c>
      <c r="F185" s="1" cm="1">
        <f t="array" ref="F185">_xlfn.XLOOKUP(Table2[[#This Row],[college]]&amp;Table2[[#This Row],[division]]&amp;Table2[[#This Row],[year]],
Teams[college]&amp;Teams[division]&amp;Teams[year],
Teams[finish], "NA")</f>
        <v>0.48819444444444443</v>
      </c>
    </row>
    <row r="186" spans="1:6" x14ac:dyDescent="0.3">
      <c r="A186" t="s">
        <v>386</v>
      </c>
      <c r="B186" t="s">
        <v>15</v>
      </c>
      <c r="C186">
        <v>2</v>
      </c>
      <c r="D186">
        <v>2024</v>
      </c>
      <c r="E186" cm="1">
        <f t="array" ref="E186">_xlfn.XLOOKUP(Table2[[#This Row],[college]]&amp;Table2[[#This Row],[division]]&amp;Table2[[#This Row],[year]],
Teams[college]&amp;Teams[division]&amp;Teams[year],
Teams[placing], "NA")</f>
        <v>7</v>
      </c>
      <c r="F186" s="1" cm="1">
        <f t="array" ref="F186">_xlfn.XLOOKUP(Table2[[#This Row],[college]]&amp;Table2[[#This Row],[division]]&amp;Table2[[#This Row],[year]],
Teams[college]&amp;Teams[division]&amp;Teams[year],
Teams[finish], "NA")</f>
        <v>0.59583333333333333</v>
      </c>
    </row>
    <row r="187" spans="1:6" x14ac:dyDescent="0.3">
      <c r="A187" t="s">
        <v>386</v>
      </c>
      <c r="B187" t="s">
        <v>15</v>
      </c>
      <c r="C187">
        <v>3</v>
      </c>
      <c r="D187">
        <v>2023</v>
      </c>
      <c r="E187" t="str" cm="1">
        <f t="array" ref="E187">_xlfn.XLOOKUP(Table2[[#This Row],[college]]&amp;Table2[[#This Row],[division]]&amp;Table2[[#This Row],[year]],
Teams[college]&amp;Teams[division]&amp;Teams[year],
Teams[placing], "NA")</f>
        <v>DNF</v>
      </c>
      <c r="F187" s="1" t="str" cm="1">
        <f t="array" ref="F187">_xlfn.XLOOKUP(Table2[[#This Row],[college]]&amp;Table2[[#This Row],[division]]&amp;Table2[[#This Row],[year]],
Teams[college]&amp;Teams[division]&amp;Teams[year],
Teams[finish], "NA")</f>
        <v>NA</v>
      </c>
    </row>
    <row r="188" spans="1:6" x14ac:dyDescent="0.3">
      <c r="A188" t="s">
        <v>366</v>
      </c>
      <c r="B188" t="s">
        <v>5</v>
      </c>
      <c r="C188">
        <v>3</v>
      </c>
      <c r="D188">
        <v>2022</v>
      </c>
      <c r="E188" cm="1">
        <f t="array" ref="E188">_xlfn.XLOOKUP(Table2[[#This Row],[college]]&amp;Table2[[#This Row],[division]]&amp;Table2[[#This Row],[year]],
Teams[college]&amp;Teams[division]&amp;Teams[year],
Teams[placing], "NA")</f>
        <v>1</v>
      </c>
      <c r="F188" s="1" cm="1">
        <f t="array" ref="F188">_xlfn.XLOOKUP(Table2[[#This Row],[college]]&amp;Table2[[#This Row],[division]]&amp;Table2[[#This Row],[year]],
Teams[college]&amp;Teams[division]&amp;Teams[year],
Teams[finish], "NA")</f>
        <v>0.39791666666666664</v>
      </c>
    </row>
    <row r="189" spans="1:6" x14ac:dyDescent="0.3">
      <c r="A189" t="s">
        <v>366</v>
      </c>
      <c r="B189" t="s">
        <v>5</v>
      </c>
      <c r="C189">
        <v>1</v>
      </c>
      <c r="D189">
        <v>2024</v>
      </c>
      <c r="E189" cm="1">
        <f t="array" ref="E189">_xlfn.XLOOKUP(Table2[[#This Row],[college]]&amp;Table2[[#This Row],[division]]&amp;Table2[[#This Row],[year]],
Teams[college]&amp;Teams[division]&amp;Teams[year],
Teams[placing], "NA")</f>
        <v>1</v>
      </c>
      <c r="F189" s="1" cm="1">
        <f t="array" ref="F189">_xlfn.XLOOKUP(Table2[[#This Row],[college]]&amp;Table2[[#This Row],[division]]&amp;Table2[[#This Row],[year]],
Teams[college]&amp;Teams[division]&amp;Teams[year],
Teams[finish], "NA")</f>
        <v>0.49652777777777779</v>
      </c>
    </row>
    <row r="190" spans="1:6" x14ac:dyDescent="0.3">
      <c r="A190" t="s">
        <v>366</v>
      </c>
      <c r="B190" t="s">
        <v>5</v>
      </c>
      <c r="C190">
        <v>1</v>
      </c>
      <c r="D190">
        <v>2023</v>
      </c>
      <c r="E190" t="str" cm="1">
        <f t="array" ref="E190">_xlfn.XLOOKUP(Table2[[#This Row],[college]]&amp;Table2[[#This Row],[division]]&amp;Table2[[#This Row],[year]],
Teams[college]&amp;Teams[division]&amp;Teams[year],
Teams[placing], "NA")</f>
        <v>DNF</v>
      </c>
      <c r="F190" s="1" t="str" cm="1">
        <f t="array" ref="F190">_xlfn.XLOOKUP(Table2[[#This Row],[college]]&amp;Table2[[#This Row],[division]]&amp;Table2[[#This Row],[year]],
Teams[college]&amp;Teams[division]&amp;Teams[year],
Teams[finish], "NA")</f>
        <v>NA</v>
      </c>
    </row>
    <row r="191" spans="1:6" x14ac:dyDescent="0.3">
      <c r="A191" t="s">
        <v>703</v>
      </c>
      <c r="B191" t="s">
        <v>5</v>
      </c>
      <c r="C191">
        <v>5</v>
      </c>
      <c r="D191">
        <v>2022</v>
      </c>
      <c r="E191" cm="1">
        <f t="array" ref="E191">_xlfn.XLOOKUP(Table2[[#This Row],[college]]&amp;Table2[[#This Row],[division]]&amp;Table2[[#This Row],[year]],
Teams[college]&amp;Teams[division]&amp;Teams[year],
Teams[placing], "NA")</f>
        <v>6</v>
      </c>
      <c r="F191" s="1" cm="1">
        <f t="array" ref="F191">_xlfn.XLOOKUP(Table2[[#This Row],[college]]&amp;Table2[[#This Row],[division]]&amp;Table2[[#This Row],[year]],
Teams[college]&amp;Teams[division]&amp;Teams[year],
Teams[finish], "NA")</f>
        <v>0.62152777777777779</v>
      </c>
    </row>
    <row r="192" spans="1:6" x14ac:dyDescent="0.3">
      <c r="A192" t="s">
        <v>780</v>
      </c>
      <c r="B192" t="s">
        <v>123</v>
      </c>
      <c r="C192">
        <v>2</v>
      </c>
      <c r="D192">
        <v>2026</v>
      </c>
      <c r="E192" cm="1">
        <f t="array" ref="E192">_xlfn.XLOOKUP(Table2[[#This Row],[college]]&amp;Table2[[#This Row],[division]]&amp;Table2[[#This Row],[year]],
Teams[college]&amp;Teams[division]&amp;Teams[year],
Teams[placing], "NA")</f>
        <v>0</v>
      </c>
      <c r="F192" s="1" cm="1">
        <f t="array" ref="F192">_xlfn.XLOOKUP(Table2[[#This Row],[college]]&amp;Table2[[#This Row],[division]]&amp;Table2[[#This Row],[year]],
Teams[college]&amp;Teams[division]&amp;Teams[year],
Teams[finish], "NA")</f>
        <v>0</v>
      </c>
    </row>
    <row r="193" spans="1:6" x14ac:dyDescent="0.3">
      <c r="A193" t="s">
        <v>383</v>
      </c>
      <c r="B193" t="s">
        <v>250</v>
      </c>
      <c r="C193">
        <v>1</v>
      </c>
      <c r="D193">
        <v>2023</v>
      </c>
      <c r="E193" cm="1">
        <f t="array" ref="E193">_xlfn.XLOOKUP(Table2[[#This Row],[college]]&amp;Table2[[#This Row],[division]]&amp;Table2[[#This Row],[year]],
Teams[college]&amp;Teams[division]&amp;Teams[year],
Teams[placing], "NA")</f>
        <v>2</v>
      </c>
      <c r="F193" s="1" cm="1">
        <f t="array" ref="F193">_xlfn.XLOOKUP(Table2[[#This Row],[college]]&amp;Table2[[#This Row],[division]]&amp;Table2[[#This Row],[year]],
Teams[college]&amp;Teams[division]&amp;Teams[year],
Teams[finish], "NA")</f>
        <v>0.65416666666666667</v>
      </c>
    </row>
    <row r="194" spans="1:6" x14ac:dyDescent="0.3">
      <c r="A194" t="s">
        <v>383</v>
      </c>
      <c r="B194" t="s">
        <v>5</v>
      </c>
      <c r="C194">
        <v>7</v>
      </c>
      <c r="D194">
        <v>2024</v>
      </c>
      <c r="E194" cm="1">
        <f t="array" ref="E194">_xlfn.XLOOKUP(Table2[[#This Row],[college]]&amp;Table2[[#This Row],[division]]&amp;Table2[[#This Row],[year]],
Teams[college]&amp;Teams[division]&amp;Teams[year],
Teams[placing], "NA")</f>
        <v>4</v>
      </c>
      <c r="F194" s="1" cm="1">
        <f t="array" ref="F194">_xlfn.XLOOKUP(Table2[[#This Row],[college]]&amp;Table2[[#This Row],[division]]&amp;Table2[[#This Row],[year]],
Teams[college]&amp;Teams[division]&amp;Teams[year],
Teams[finish], "NA")</f>
        <v>0.66597222222222219</v>
      </c>
    </row>
    <row r="195" spans="1:6" x14ac:dyDescent="0.3">
      <c r="A195" t="s">
        <v>263</v>
      </c>
      <c r="B195" t="s">
        <v>10</v>
      </c>
      <c r="C195">
        <v>6</v>
      </c>
      <c r="D195">
        <v>2025</v>
      </c>
      <c r="E195" cm="1">
        <f t="array" ref="E195">_xlfn.XLOOKUP(Table2[[#This Row],[college]]&amp;Table2[[#This Row],[division]]&amp;Table2[[#This Row],[year]],
Teams[college]&amp;Teams[division]&amp;Teams[year],
Teams[placing], "NA")</f>
        <v>3</v>
      </c>
      <c r="F195" s="1" cm="1">
        <f t="array" ref="F195">_xlfn.XLOOKUP(Table2[[#This Row],[college]]&amp;Table2[[#This Row],[division]]&amp;Table2[[#This Row],[year]],
Teams[college]&amp;Teams[division]&amp;Teams[year],
Teams[finish], "NA")</f>
        <v>0.51597222222222228</v>
      </c>
    </row>
    <row r="196" spans="1:6" x14ac:dyDescent="0.3">
      <c r="A196" t="s">
        <v>263</v>
      </c>
      <c r="B196" t="s">
        <v>10</v>
      </c>
      <c r="C196">
        <v>3</v>
      </c>
      <c r="D196">
        <v>2026</v>
      </c>
      <c r="E196" cm="1">
        <f t="array" ref="E196">_xlfn.XLOOKUP(Table2[[#This Row],[college]]&amp;Table2[[#This Row],[division]]&amp;Table2[[#This Row],[year]],
Teams[college]&amp;Teams[division]&amp;Teams[year],
Teams[placing], "NA")</f>
        <v>0</v>
      </c>
      <c r="F196" s="1" cm="1">
        <f t="array" ref="F196">_xlfn.XLOOKUP(Table2[[#This Row],[college]]&amp;Table2[[#This Row],[division]]&amp;Table2[[#This Row],[year]],
Teams[college]&amp;Teams[division]&amp;Teams[year],
Teams[finish], "NA")</f>
        <v>0</v>
      </c>
    </row>
    <row r="197" spans="1:6" x14ac:dyDescent="0.3">
      <c r="A197" t="s">
        <v>125</v>
      </c>
      <c r="B197" t="s">
        <v>123</v>
      </c>
      <c r="C197">
        <v>3</v>
      </c>
      <c r="D197">
        <v>2025</v>
      </c>
      <c r="E197" cm="1">
        <f t="array" ref="E197">_xlfn.XLOOKUP(Table2[[#This Row],[college]]&amp;Table2[[#This Row],[division]]&amp;Table2[[#This Row],[year]],
Teams[college]&amp;Teams[division]&amp;Teams[year],
Teams[placing], "NA")</f>
        <v>2</v>
      </c>
      <c r="F197" s="1" cm="1">
        <f t="array" ref="F197">_xlfn.XLOOKUP(Table2[[#This Row],[college]]&amp;Table2[[#This Row],[division]]&amp;Table2[[#This Row],[year]],
Teams[college]&amp;Teams[division]&amp;Teams[year],
Teams[finish], "NA")</f>
        <v>0.52083333333333337</v>
      </c>
    </row>
    <row r="198" spans="1:6" x14ac:dyDescent="0.3">
      <c r="A198" t="s">
        <v>125</v>
      </c>
      <c r="B198" t="s">
        <v>123</v>
      </c>
      <c r="C198">
        <v>5</v>
      </c>
      <c r="D198">
        <v>2026</v>
      </c>
      <c r="E198" cm="1">
        <f t="array" ref="E198">_xlfn.XLOOKUP(Table2[[#This Row],[college]]&amp;Table2[[#This Row],[division]]&amp;Table2[[#This Row],[year]],
Teams[college]&amp;Teams[division]&amp;Teams[year],
Teams[placing], "NA")</f>
        <v>0</v>
      </c>
      <c r="F198" s="1" cm="1">
        <f t="array" ref="F198">_xlfn.XLOOKUP(Table2[[#This Row],[college]]&amp;Table2[[#This Row],[division]]&amp;Table2[[#This Row],[year]],
Teams[college]&amp;Teams[division]&amp;Teams[year],
Teams[finish], "NA")</f>
        <v>0</v>
      </c>
    </row>
    <row r="199" spans="1:6" x14ac:dyDescent="0.3">
      <c r="A199" t="s">
        <v>476</v>
      </c>
      <c r="B199" t="s">
        <v>266</v>
      </c>
      <c r="C199">
        <v>3</v>
      </c>
      <c r="D199">
        <v>2024</v>
      </c>
      <c r="E199" t="str" cm="1">
        <f t="array" ref="E199">_xlfn.XLOOKUP(Table2[[#This Row],[college]]&amp;Table2[[#This Row],[division]]&amp;Table2[[#This Row],[year]],
Teams[college]&amp;Teams[division]&amp;Teams[year],
Teams[placing], "NA")</f>
        <v>DNF</v>
      </c>
      <c r="F199" s="1" t="str" cm="1">
        <f t="array" ref="F199">_xlfn.XLOOKUP(Table2[[#This Row],[college]]&amp;Table2[[#This Row],[division]]&amp;Table2[[#This Row],[year]],
Teams[college]&amp;Teams[division]&amp;Teams[year],
Teams[finish], "NA")</f>
        <v>NA</v>
      </c>
    </row>
    <row r="200" spans="1:6" x14ac:dyDescent="0.3">
      <c r="A200" t="s">
        <v>851</v>
      </c>
      <c r="B200" t="s">
        <v>19</v>
      </c>
      <c r="C200">
        <v>4</v>
      </c>
      <c r="D200">
        <v>2026</v>
      </c>
      <c r="E200" cm="1">
        <f t="array" ref="E200">_xlfn.XLOOKUP(Table2[[#This Row],[college]]&amp;Table2[[#This Row],[division]]&amp;Table2[[#This Row],[year]],
Teams[college]&amp;Teams[division]&amp;Teams[year],
Teams[placing], "NA")</f>
        <v>0</v>
      </c>
      <c r="F200" s="1" cm="1">
        <f t="array" ref="F200">_xlfn.XLOOKUP(Table2[[#This Row],[college]]&amp;Table2[[#This Row],[division]]&amp;Table2[[#This Row],[year]],
Teams[college]&amp;Teams[division]&amp;Teams[year],
Teams[finish], "NA")</f>
        <v>0</v>
      </c>
    </row>
    <row r="201" spans="1:6" x14ac:dyDescent="0.3">
      <c r="A201" t="s">
        <v>100</v>
      </c>
      <c r="B201" t="s">
        <v>754</v>
      </c>
      <c r="C201">
        <v>2</v>
      </c>
      <c r="D201">
        <v>2025</v>
      </c>
      <c r="E201" t="str" cm="1">
        <f t="array" ref="E201">_xlfn.XLOOKUP(Table2[[#This Row],[college]]&amp;Table2[[#This Row],[division]]&amp;Table2[[#This Row],[year]],
Teams[college]&amp;Teams[division]&amp;Teams[year],
Teams[placing], "NA")</f>
        <v>NA</v>
      </c>
      <c r="F201" s="1" cm="1">
        <f t="array" ref="F201">_xlfn.XLOOKUP(Table2[[#This Row],[college]]&amp;Table2[[#This Row],[division]]&amp;Table2[[#This Row],[year]],
Teams[college]&amp;Teams[division]&amp;Teams[year],
Teams[finish], "NA")</f>
        <v>0.4861111111111111</v>
      </c>
    </row>
    <row r="202" spans="1:6" x14ac:dyDescent="0.3">
      <c r="A202" t="s">
        <v>100</v>
      </c>
      <c r="B202" t="s">
        <v>754</v>
      </c>
      <c r="C202">
        <v>2</v>
      </c>
      <c r="D202">
        <v>2024</v>
      </c>
      <c r="E202" t="str" cm="1">
        <f t="array" ref="E202">_xlfn.XLOOKUP(Table2[[#This Row],[college]]&amp;Table2[[#This Row],[division]]&amp;Table2[[#This Row],[year]],
Teams[college]&amp;Teams[division]&amp;Teams[year],
Teams[placing], "NA")</f>
        <v>NA</v>
      </c>
      <c r="F202" s="1" cm="1">
        <f t="array" ref="F202">_xlfn.XLOOKUP(Table2[[#This Row],[college]]&amp;Table2[[#This Row],[division]]&amp;Table2[[#This Row],[year]],
Teams[college]&amp;Teams[division]&amp;Teams[year],
Teams[finish], "NA")</f>
        <v>0.55555555555555558</v>
      </c>
    </row>
    <row r="203" spans="1:6" x14ac:dyDescent="0.3">
      <c r="A203" t="s">
        <v>664</v>
      </c>
      <c r="B203" t="s">
        <v>137</v>
      </c>
      <c r="C203">
        <v>7</v>
      </c>
      <c r="D203">
        <v>2022</v>
      </c>
      <c r="E203" cm="1">
        <f t="array" ref="E203">_xlfn.XLOOKUP(Table2[[#This Row],[college]]&amp;Table2[[#This Row],[division]]&amp;Table2[[#This Row],[year]],
Teams[college]&amp;Teams[division]&amp;Teams[year],
Teams[placing], "NA")</f>
        <v>1</v>
      </c>
      <c r="F203" s="1" cm="1">
        <f t="array" ref="F203">_xlfn.XLOOKUP(Table2[[#This Row],[college]]&amp;Table2[[#This Row],[division]]&amp;Table2[[#This Row],[year]],
Teams[college]&amp;Teams[division]&amp;Teams[year],
Teams[finish], "NA")</f>
        <v>0.44166666666666665</v>
      </c>
    </row>
    <row r="204" spans="1:6" x14ac:dyDescent="0.3">
      <c r="A204" t="s">
        <v>278</v>
      </c>
      <c r="B204" t="s">
        <v>266</v>
      </c>
      <c r="C204">
        <v>7</v>
      </c>
      <c r="D204">
        <v>2023</v>
      </c>
      <c r="E204" cm="1">
        <f t="array" ref="E204">_xlfn.XLOOKUP(Table2[[#This Row],[college]]&amp;Table2[[#This Row],[division]]&amp;Table2[[#This Row],[year]],
Teams[college]&amp;Teams[division]&amp;Teams[year],
Teams[placing], "NA")</f>
        <v>6</v>
      </c>
      <c r="F204" s="1" cm="1">
        <f t="array" ref="F204">_xlfn.XLOOKUP(Table2[[#This Row],[college]]&amp;Table2[[#This Row],[division]]&amp;Table2[[#This Row],[year]],
Teams[college]&amp;Teams[division]&amp;Teams[year],
Teams[finish], "NA")</f>
        <v>0.58819444444444446</v>
      </c>
    </row>
    <row r="205" spans="1:6" x14ac:dyDescent="0.3">
      <c r="A205" t="s">
        <v>278</v>
      </c>
      <c r="B205" t="s">
        <v>266</v>
      </c>
      <c r="C205">
        <v>3</v>
      </c>
      <c r="D205">
        <v>2025</v>
      </c>
      <c r="E205" t="str" cm="1">
        <f t="array" ref="E205">_xlfn.XLOOKUP(Table2[[#This Row],[college]]&amp;Table2[[#This Row],[division]]&amp;Table2[[#This Row],[year]],
Teams[college]&amp;Teams[division]&amp;Teams[year],
Teams[placing], "NA")</f>
        <v>DNF</v>
      </c>
      <c r="F205" s="1" t="str" cm="1">
        <f t="array" ref="F205">_xlfn.XLOOKUP(Table2[[#This Row],[college]]&amp;Table2[[#This Row],[division]]&amp;Table2[[#This Row],[year]],
Teams[college]&amp;Teams[division]&amp;Teams[year],
Teams[finish], "NA")</f>
        <v>NA</v>
      </c>
    </row>
    <row r="206" spans="1:6" x14ac:dyDescent="0.3">
      <c r="A206" t="s">
        <v>278</v>
      </c>
      <c r="B206" t="s">
        <v>266</v>
      </c>
      <c r="C206">
        <v>3</v>
      </c>
      <c r="D206">
        <v>2024</v>
      </c>
      <c r="E206" t="str" cm="1">
        <f t="array" ref="E206">_xlfn.XLOOKUP(Table2[[#This Row],[college]]&amp;Table2[[#This Row],[division]]&amp;Table2[[#This Row],[year]],
Teams[college]&amp;Teams[division]&amp;Teams[year],
Teams[placing], "NA")</f>
        <v>DNF</v>
      </c>
      <c r="F206" s="1" t="str" cm="1">
        <f t="array" ref="F206">_xlfn.XLOOKUP(Table2[[#This Row],[college]]&amp;Table2[[#This Row],[division]]&amp;Table2[[#This Row],[year]],
Teams[college]&amp;Teams[division]&amp;Teams[year],
Teams[finish], "NA")</f>
        <v>NA</v>
      </c>
    </row>
    <row r="207" spans="1:6" x14ac:dyDescent="0.3">
      <c r="A207" t="s">
        <v>634</v>
      </c>
      <c r="B207" t="s">
        <v>132</v>
      </c>
      <c r="C207">
        <v>5</v>
      </c>
      <c r="D207">
        <v>2022</v>
      </c>
      <c r="E207" cm="1">
        <f t="array" ref="E207">_xlfn.XLOOKUP(Table2[[#This Row],[college]]&amp;Table2[[#This Row],[division]]&amp;Table2[[#This Row],[year]],
Teams[college]&amp;Teams[division]&amp;Teams[year],
Teams[placing], "NA")</f>
        <v>7</v>
      </c>
      <c r="F207" s="1" cm="1">
        <f t="array" ref="F207">_xlfn.XLOOKUP(Table2[[#This Row],[college]]&amp;Table2[[#This Row],[division]]&amp;Table2[[#This Row],[year]],
Teams[college]&amp;Teams[division]&amp;Teams[year],
Teams[finish], "NA")</f>
        <v>0.63541666666666663</v>
      </c>
    </row>
    <row r="208" spans="1:6" x14ac:dyDescent="0.3">
      <c r="A208" t="s">
        <v>634</v>
      </c>
      <c r="B208" t="s">
        <v>132</v>
      </c>
      <c r="C208">
        <v>3</v>
      </c>
      <c r="D208">
        <v>2023</v>
      </c>
      <c r="E208" t="str" cm="1">
        <f t="array" ref="E208">_xlfn.XLOOKUP(Table2[[#This Row],[college]]&amp;Table2[[#This Row],[division]]&amp;Table2[[#This Row],[year]],
Teams[college]&amp;Teams[division]&amp;Teams[year],
Teams[placing], "NA")</f>
        <v>DNF</v>
      </c>
      <c r="F208" s="1" t="str" cm="1">
        <f t="array" ref="F208">_xlfn.XLOOKUP(Table2[[#This Row],[college]]&amp;Table2[[#This Row],[division]]&amp;Table2[[#This Row],[year]],
Teams[college]&amp;Teams[division]&amp;Teams[year],
Teams[finish], "NA")</f>
        <v>NA</v>
      </c>
    </row>
    <row r="209" spans="1:6" x14ac:dyDescent="0.3">
      <c r="A209" t="s">
        <v>498</v>
      </c>
      <c r="B209" t="s">
        <v>19</v>
      </c>
      <c r="C209">
        <v>2</v>
      </c>
      <c r="D209">
        <v>2024</v>
      </c>
      <c r="E209" cm="1">
        <f t="array" ref="E209">_xlfn.XLOOKUP(Table2[[#This Row],[college]]&amp;Table2[[#This Row],[division]]&amp;Table2[[#This Row],[year]],
Teams[college]&amp;Teams[division]&amp;Teams[year],
Teams[placing], "NA")</f>
        <v>6</v>
      </c>
      <c r="F209" s="1" cm="1">
        <f t="array" ref="F209">_xlfn.XLOOKUP(Table2[[#This Row],[college]]&amp;Table2[[#This Row],[division]]&amp;Table2[[#This Row],[year]],
Teams[college]&amp;Teams[division]&amp;Teams[year],
Teams[finish], "NA")</f>
        <v>0.59305555555555556</v>
      </c>
    </row>
    <row r="210" spans="1:6" x14ac:dyDescent="0.3">
      <c r="A210" t="s">
        <v>416</v>
      </c>
      <c r="B210" t="s">
        <v>250</v>
      </c>
      <c r="C210">
        <v>6</v>
      </c>
      <c r="D210">
        <v>2022</v>
      </c>
      <c r="E210" cm="1">
        <f t="array" ref="E210">_xlfn.XLOOKUP(Table2[[#This Row],[college]]&amp;Table2[[#This Row],[division]]&amp;Table2[[#This Row],[year]],
Teams[college]&amp;Teams[division]&amp;Teams[year],
Teams[placing], "NA")</f>
        <v>5</v>
      </c>
      <c r="F210" s="1" cm="1">
        <f t="array" ref="F210">_xlfn.XLOOKUP(Table2[[#This Row],[college]]&amp;Table2[[#This Row],[division]]&amp;Table2[[#This Row],[year]],
Teams[college]&amp;Teams[division]&amp;Teams[year],
Teams[finish], "NA")</f>
        <v>0.52847222222222223</v>
      </c>
    </row>
    <row r="211" spans="1:6" x14ac:dyDescent="0.3">
      <c r="A211" t="s">
        <v>416</v>
      </c>
      <c r="B211" t="s">
        <v>250</v>
      </c>
      <c r="C211">
        <v>3</v>
      </c>
      <c r="D211">
        <v>2024</v>
      </c>
      <c r="E211" cm="1">
        <f t="array" ref="E211">_xlfn.XLOOKUP(Table2[[#This Row],[college]]&amp;Table2[[#This Row],[division]]&amp;Table2[[#This Row],[year]],
Teams[college]&amp;Teams[division]&amp;Teams[year],
Teams[placing], "NA")</f>
        <v>1</v>
      </c>
      <c r="F211" s="1" cm="1">
        <f t="array" ref="F211">_xlfn.XLOOKUP(Table2[[#This Row],[college]]&amp;Table2[[#This Row],[division]]&amp;Table2[[#This Row],[year]],
Teams[college]&amp;Teams[division]&amp;Teams[year],
Teams[finish], "NA")</f>
        <v>0.55833333333333335</v>
      </c>
    </row>
    <row r="212" spans="1:6" x14ac:dyDescent="0.3">
      <c r="A212" t="s">
        <v>416</v>
      </c>
      <c r="B212" t="s">
        <v>250</v>
      </c>
      <c r="C212">
        <v>2</v>
      </c>
      <c r="D212">
        <v>2023</v>
      </c>
      <c r="E212" t="str" cm="1">
        <f t="array" ref="E212">_xlfn.XLOOKUP(Table2[[#This Row],[college]]&amp;Table2[[#This Row],[division]]&amp;Table2[[#This Row],[year]],
Teams[college]&amp;Teams[division]&amp;Teams[year],
Teams[placing], "NA")</f>
        <v>DNF</v>
      </c>
      <c r="F212" s="1" t="str" cm="1">
        <f t="array" ref="F212">_xlfn.XLOOKUP(Table2[[#This Row],[college]]&amp;Table2[[#This Row],[division]]&amp;Table2[[#This Row],[year]],
Teams[college]&amp;Teams[division]&amp;Teams[year],
Teams[finish], "NA")</f>
        <v>NA</v>
      </c>
    </row>
    <row r="213" spans="1:6" x14ac:dyDescent="0.3">
      <c r="A213" t="s">
        <v>880</v>
      </c>
      <c r="B213" t="s">
        <v>132</v>
      </c>
      <c r="C213">
        <v>5</v>
      </c>
      <c r="D213">
        <v>2026</v>
      </c>
      <c r="E213" cm="1">
        <f t="array" ref="E213">_xlfn.XLOOKUP(Table2[[#This Row],[college]]&amp;Table2[[#This Row],[division]]&amp;Table2[[#This Row],[year]],
Teams[college]&amp;Teams[division]&amp;Teams[year],
Teams[placing], "NA")</f>
        <v>0</v>
      </c>
      <c r="F213" s="1" cm="1">
        <f t="array" ref="F213">_xlfn.XLOOKUP(Table2[[#This Row],[college]]&amp;Table2[[#This Row],[division]]&amp;Table2[[#This Row],[year]],
Teams[college]&amp;Teams[division]&amp;Teams[year],
Teams[finish], "NA")</f>
        <v>0</v>
      </c>
    </row>
    <row r="214" spans="1:6" x14ac:dyDescent="0.3">
      <c r="A214" t="s">
        <v>1000</v>
      </c>
      <c r="B214" t="s">
        <v>250</v>
      </c>
      <c r="C214">
        <v>3</v>
      </c>
      <c r="D214">
        <v>2026</v>
      </c>
      <c r="E214" cm="1">
        <f t="array" ref="E214">_xlfn.XLOOKUP(Table2[[#This Row],[college]]&amp;Table2[[#This Row],[division]]&amp;Table2[[#This Row],[year]],
Teams[college]&amp;Teams[division]&amp;Teams[year],
Teams[placing], "NA")</f>
        <v>0</v>
      </c>
      <c r="F214" s="1" cm="1">
        <f t="array" ref="F214">_xlfn.XLOOKUP(Table2[[#This Row],[college]]&amp;Table2[[#This Row],[division]]&amp;Table2[[#This Row],[year]],
Teams[college]&amp;Teams[division]&amp;Teams[year],
Teams[finish], "NA")</f>
        <v>0</v>
      </c>
    </row>
    <row r="215" spans="1:6" x14ac:dyDescent="0.3">
      <c r="A215" t="s">
        <v>115</v>
      </c>
      <c r="B215" t="s">
        <v>19</v>
      </c>
      <c r="C215">
        <v>6</v>
      </c>
      <c r="D215">
        <v>2026</v>
      </c>
      <c r="E215" cm="1">
        <f t="array" ref="E215">_xlfn.XLOOKUP(Table2[[#This Row],[college]]&amp;Table2[[#This Row],[division]]&amp;Table2[[#This Row],[year]],
Teams[college]&amp;Teams[division]&amp;Teams[year],
Teams[placing], "NA")</f>
        <v>0</v>
      </c>
      <c r="F215" s="1" cm="1">
        <f t="array" ref="F215">_xlfn.XLOOKUP(Table2[[#This Row],[college]]&amp;Table2[[#This Row],[division]]&amp;Table2[[#This Row],[year]],
Teams[college]&amp;Teams[division]&amp;Teams[year],
Teams[finish], "NA")</f>
        <v>0</v>
      </c>
    </row>
    <row r="216" spans="1:6" x14ac:dyDescent="0.3">
      <c r="A216" t="s">
        <v>115</v>
      </c>
      <c r="B216" t="s">
        <v>19</v>
      </c>
      <c r="C216">
        <v>7</v>
      </c>
      <c r="D216">
        <v>2025</v>
      </c>
      <c r="E216" cm="1">
        <f t="array" ref="E216">_xlfn.XLOOKUP(Table2[[#This Row],[college]]&amp;Table2[[#This Row],[division]]&amp;Table2[[#This Row],[year]],
Teams[college]&amp;Teams[division]&amp;Teams[year],
Teams[placing], "NA")</f>
        <v>4</v>
      </c>
      <c r="F216" s="1" cm="1">
        <f t="array" ref="F216">_xlfn.XLOOKUP(Table2[[#This Row],[college]]&amp;Table2[[#This Row],[division]]&amp;Table2[[#This Row],[year]],
Teams[college]&amp;Teams[division]&amp;Teams[year],
Teams[finish], "NA")</f>
        <v>0.50555555555555554</v>
      </c>
    </row>
    <row r="217" spans="1:6" x14ac:dyDescent="0.3">
      <c r="A217" t="s">
        <v>496</v>
      </c>
      <c r="B217" t="s">
        <v>48</v>
      </c>
      <c r="C217">
        <v>2</v>
      </c>
      <c r="D217">
        <v>2023</v>
      </c>
      <c r="E217" cm="1">
        <f t="array" ref="E217">_xlfn.XLOOKUP(Table2[[#This Row],[college]]&amp;Table2[[#This Row],[division]]&amp;Table2[[#This Row],[year]],
Teams[college]&amp;Teams[division]&amp;Teams[year],
Teams[placing], "NA")</f>
        <v>4</v>
      </c>
      <c r="F217" s="1" cm="1">
        <f t="array" ref="F217">_xlfn.XLOOKUP(Table2[[#This Row],[college]]&amp;Table2[[#This Row],[division]]&amp;Table2[[#This Row],[year]],
Teams[college]&amp;Teams[division]&amp;Teams[year],
Teams[finish], "NA")</f>
        <v>0.59722222222222221</v>
      </c>
    </row>
    <row r="218" spans="1:6" x14ac:dyDescent="0.3">
      <c r="A218" t="s">
        <v>496</v>
      </c>
      <c r="B218" t="s">
        <v>48</v>
      </c>
      <c r="C218">
        <v>3</v>
      </c>
      <c r="D218">
        <v>2024</v>
      </c>
      <c r="E218" cm="1">
        <f t="array" ref="E218">_xlfn.XLOOKUP(Table2[[#This Row],[college]]&amp;Table2[[#This Row],[division]]&amp;Table2[[#This Row],[year]],
Teams[college]&amp;Teams[division]&amp;Teams[year],
Teams[placing], "NA")</f>
        <v>3</v>
      </c>
      <c r="F218" s="1" cm="1">
        <f t="array" ref="F218">_xlfn.XLOOKUP(Table2[[#This Row],[college]]&amp;Table2[[#This Row],[division]]&amp;Table2[[#This Row],[year]],
Teams[college]&amp;Teams[division]&amp;Teams[year],
Teams[finish], "NA")</f>
        <v>0.66111111111111109</v>
      </c>
    </row>
    <row r="219" spans="1:6" x14ac:dyDescent="0.3">
      <c r="A219" t="s">
        <v>496</v>
      </c>
      <c r="B219" t="s">
        <v>48</v>
      </c>
      <c r="C219">
        <v>4</v>
      </c>
      <c r="D219">
        <v>2022</v>
      </c>
      <c r="E219" t="str" cm="1">
        <f t="array" ref="E219">_xlfn.XLOOKUP(Table2[[#This Row],[college]]&amp;Table2[[#This Row],[division]]&amp;Table2[[#This Row],[year]],
Teams[college]&amp;Teams[division]&amp;Teams[year],
Teams[placing], "NA")</f>
        <v>DNF</v>
      </c>
      <c r="F219" s="1" t="str" cm="1">
        <f t="array" ref="F219">_xlfn.XLOOKUP(Table2[[#This Row],[college]]&amp;Table2[[#This Row],[division]]&amp;Table2[[#This Row],[year]],
Teams[college]&amp;Teams[division]&amp;Teams[year],
Teams[finish], "NA")</f>
        <v>NA</v>
      </c>
    </row>
    <row r="220" spans="1:6" x14ac:dyDescent="0.3">
      <c r="A220" t="s">
        <v>61</v>
      </c>
      <c r="B220" t="s">
        <v>10</v>
      </c>
      <c r="C220">
        <v>1</v>
      </c>
      <c r="D220">
        <v>2024</v>
      </c>
      <c r="E220" cm="1">
        <f t="array" ref="E220">_xlfn.XLOOKUP(Table2[[#This Row],[college]]&amp;Table2[[#This Row],[division]]&amp;Table2[[#This Row],[year]],
Teams[college]&amp;Teams[division]&amp;Teams[year],
Teams[placing], "NA")</f>
        <v>5</v>
      </c>
      <c r="F220" s="1" cm="1">
        <f t="array" ref="F220">_xlfn.XLOOKUP(Table2[[#This Row],[college]]&amp;Table2[[#This Row],[division]]&amp;Table2[[#This Row],[year]],
Teams[college]&amp;Teams[division]&amp;Teams[year],
Teams[finish], "NA")</f>
        <v>0.62638888888888888</v>
      </c>
    </row>
    <row r="221" spans="1:6" x14ac:dyDescent="0.3">
      <c r="A221" t="s">
        <v>61</v>
      </c>
      <c r="B221" t="s">
        <v>10</v>
      </c>
      <c r="C221">
        <v>2</v>
      </c>
      <c r="D221">
        <v>2025</v>
      </c>
      <c r="E221" t="str" cm="1">
        <f t="array" ref="E221">_xlfn.XLOOKUP(Table2[[#This Row],[college]]&amp;Table2[[#This Row],[division]]&amp;Table2[[#This Row],[year]],
Teams[college]&amp;Teams[division]&amp;Teams[year],
Teams[placing], "NA")</f>
        <v>DNF</v>
      </c>
      <c r="F221" s="1" t="str" cm="1">
        <f t="array" ref="F221">_xlfn.XLOOKUP(Table2[[#This Row],[college]]&amp;Table2[[#This Row],[division]]&amp;Table2[[#This Row],[year]],
Teams[college]&amp;Teams[division]&amp;Teams[year],
Teams[finish], "NA")</f>
        <v>NA</v>
      </c>
    </row>
    <row r="222" spans="1:6" x14ac:dyDescent="0.3">
      <c r="A222" t="s">
        <v>61</v>
      </c>
      <c r="B222" t="s">
        <v>10</v>
      </c>
      <c r="C222">
        <v>1</v>
      </c>
      <c r="D222">
        <v>2023</v>
      </c>
      <c r="E222" t="str" cm="1">
        <f t="array" ref="E222">_xlfn.XLOOKUP(Table2[[#This Row],[college]]&amp;Table2[[#This Row],[division]]&amp;Table2[[#This Row],[year]],
Teams[college]&amp;Teams[division]&amp;Teams[year],
Teams[placing], "NA")</f>
        <v>DNF</v>
      </c>
      <c r="F222" s="1" t="str" cm="1">
        <f t="array" ref="F222">_xlfn.XLOOKUP(Table2[[#This Row],[college]]&amp;Table2[[#This Row],[division]]&amp;Table2[[#This Row],[year]],
Teams[college]&amp;Teams[division]&amp;Teams[year],
Teams[finish], "NA")</f>
        <v>NA</v>
      </c>
    </row>
    <row r="223" spans="1:6" x14ac:dyDescent="0.3">
      <c r="A223" t="s">
        <v>819</v>
      </c>
      <c r="B223" t="s">
        <v>15</v>
      </c>
      <c r="C223">
        <v>2</v>
      </c>
      <c r="D223">
        <v>2026</v>
      </c>
      <c r="E223" cm="1">
        <f t="array" ref="E223">_xlfn.XLOOKUP(Table2[[#This Row],[college]]&amp;Table2[[#This Row],[division]]&amp;Table2[[#This Row],[year]],
Teams[college]&amp;Teams[division]&amp;Teams[year],
Teams[placing], "NA")</f>
        <v>0</v>
      </c>
      <c r="F223" s="1" cm="1">
        <f t="array" ref="F223">_xlfn.XLOOKUP(Table2[[#This Row],[college]]&amp;Table2[[#This Row],[division]]&amp;Table2[[#This Row],[year]],
Teams[college]&amp;Teams[division]&amp;Teams[year],
Teams[finish], "NA")</f>
        <v>0</v>
      </c>
    </row>
    <row r="224" spans="1:6" x14ac:dyDescent="0.3">
      <c r="A224" t="s">
        <v>237</v>
      </c>
      <c r="B224" t="s">
        <v>10</v>
      </c>
      <c r="C224">
        <v>7</v>
      </c>
      <c r="D224">
        <v>2025</v>
      </c>
      <c r="E224" cm="1">
        <f t="array" ref="E224">_xlfn.XLOOKUP(Table2[[#This Row],[college]]&amp;Table2[[#This Row],[division]]&amp;Table2[[#This Row],[year]],
Teams[college]&amp;Teams[division]&amp;Teams[year],
Teams[placing], "NA")</f>
        <v>1</v>
      </c>
      <c r="F224" s="1" cm="1">
        <f t="array" ref="F224">_xlfn.XLOOKUP(Table2[[#This Row],[college]]&amp;Table2[[#This Row],[division]]&amp;Table2[[#This Row],[year]],
Teams[college]&amp;Teams[division]&amp;Teams[year],
Teams[finish], "NA")</f>
        <v>0.43333333333333335</v>
      </c>
    </row>
    <row r="225" spans="1:6" x14ac:dyDescent="0.3">
      <c r="A225" t="s">
        <v>815</v>
      </c>
      <c r="B225" t="s">
        <v>132</v>
      </c>
      <c r="C225">
        <v>2</v>
      </c>
      <c r="D225">
        <v>2026</v>
      </c>
      <c r="E225" cm="1">
        <f t="array" ref="E225">_xlfn.XLOOKUP(Table2[[#This Row],[college]]&amp;Table2[[#This Row],[division]]&amp;Table2[[#This Row],[year]],
Teams[college]&amp;Teams[division]&amp;Teams[year],
Teams[placing], "NA")</f>
        <v>0</v>
      </c>
      <c r="F225" s="1" cm="1">
        <f t="array" ref="F225">_xlfn.XLOOKUP(Table2[[#This Row],[college]]&amp;Table2[[#This Row],[division]]&amp;Table2[[#This Row],[year]],
Teams[college]&amp;Teams[division]&amp;Teams[year],
Teams[finish], "NA")</f>
        <v>0</v>
      </c>
    </row>
    <row r="226" spans="1:6" x14ac:dyDescent="0.3">
      <c r="A226" t="s">
        <v>483</v>
      </c>
      <c r="B226" t="s">
        <v>10</v>
      </c>
      <c r="C226">
        <v>4</v>
      </c>
      <c r="D226">
        <v>2024</v>
      </c>
      <c r="E226" cm="1">
        <f t="array" ref="E226">_xlfn.XLOOKUP(Table2[[#This Row],[college]]&amp;Table2[[#This Row],[division]]&amp;Table2[[#This Row],[year]],
Teams[college]&amp;Teams[division]&amp;Teams[year],
Teams[placing], "NA")</f>
        <v>6</v>
      </c>
      <c r="F226" s="1" cm="1">
        <f t="array" ref="F226">_xlfn.XLOOKUP(Table2[[#This Row],[college]]&amp;Table2[[#This Row],[division]]&amp;Table2[[#This Row],[year]],
Teams[college]&amp;Teams[division]&amp;Teams[year],
Teams[finish], "NA")</f>
        <v>0.67291666666666672</v>
      </c>
    </row>
    <row r="227" spans="1:6" x14ac:dyDescent="0.3">
      <c r="A227" t="s">
        <v>483</v>
      </c>
      <c r="B227" t="s">
        <v>10</v>
      </c>
      <c r="C227">
        <v>4</v>
      </c>
      <c r="D227">
        <v>2022</v>
      </c>
      <c r="E227" t="str" cm="1">
        <f t="array" ref="E227">_xlfn.XLOOKUP(Table2[[#This Row],[college]]&amp;Table2[[#This Row],[division]]&amp;Table2[[#This Row],[year]],
Teams[college]&amp;Teams[division]&amp;Teams[year],
Teams[placing], "NA")</f>
        <v>DQ</v>
      </c>
      <c r="F227" s="1" t="str" cm="1">
        <f t="array" ref="F227">_xlfn.XLOOKUP(Table2[[#This Row],[college]]&amp;Table2[[#This Row],[division]]&amp;Table2[[#This Row],[year]],
Teams[college]&amp;Teams[division]&amp;Teams[year],
Teams[finish], "NA")</f>
        <v>NA</v>
      </c>
    </row>
    <row r="228" spans="1:6" x14ac:dyDescent="0.3">
      <c r="A228" t="s">
        <v>946</v>
      </c>
      <c r="B228" t="s">
        <v>766</v>
      </c>
      <c r="C228">
        <v>6</v>
      </c>
      <c r="D228">
        <v>2026</v>
      </c>
      <c r="E228" cm="1">
        <f t="array" ref="E228">_xlfn.XLOOKUP(Table2[[#This Row],[college]]&amp;Table2[[#This Row],[division]]&amp;Table2[[#This Row],[year]],
Teams[college]&amp;Teams[division]&amp;Teams[year],
Teams[placing], "NA")</f>
        <v>0</v>
      </c>
      <c r="F228" s="1" cm="1">
        <f t="array" ref="F228">_xlfn.XLOOKUP(Table2[[#This Row],[college]]&amp;Table2[[#This Row],[division]]&amp;Table2[[#This Row],[year]],
Teams[college]&amp;Teams[division]&amp;Teams[year],
Teams[finish], "NA")</f>
        <v>0</v>
      </c>
    </row>
    <row r="229" spans="1:6" x14ac:dyDescent="0.3">
      <c r="A229" t="s">
        <v>346</v>
      </c>
      <c r="B229" t="s">
        <v>10</v>
      </c>
      <c r="C229">
        <v>1</v>
      </c>
      <c r="D229">
        <v>2024</v>
      </c>
      <c r="E229" cm="1">
        <f t="array" ref="E229">_xlfn.XLOOKUP(Table2[[#This Row],[college]]&amp;Table2[[#This Row],[division]]&amp;Table2[[#This Row],[year]],
Teams[college]&amp;Teams[division]&amp;Teams[year],
Teams[placing], "NA")</f>
        <v>5</v>
      </c>
      <c r="F229" s="1" cm="1">
        <f t="array" ref="F229">_xlfn.XLOOKUP(Table2[[#This Row],[college]]&amp;Table2[[#This Row],[division]]&amp;Table2[[#This Row],[year]],
Teams[college]&amp;Teams[division]&amp;Teams[year],
Teams[finish], "NA")</f>
        <v>0.62638888888888888</v>
      </c>
    </row>
    <row r="230" spans="1:6" x14ac:dyDescent="0.3">
      <c r="A230" t="s">
        <v>284</v>
      </c>
      <c r="B230" t="s">
        <v>266</v>
      </c>
      <c r="C230">
        <v>5</v>
      </c>
      <c r="D230">
        <v>2025</v>
      </c>
      <c r="E230" cm="1">
        <f t="array" ref="E230">_xlfn.XLOOKUP(Table2[[#This Row],[college]]&amp;Table2[[#This Row],[division]]&amp;Table2[[#This Row],[year]],
Teams[college]&amp;Teams[division]&amp;Teams[year],
Teams[placing], "NA")</f>
        <v>10</v>
      </c>
      <c r="F230" s="1" cm="1">
        <f t="array" ref="F230">_xlfn.XLOOKUP(Table2[[#This Row],[college]]&amp;Table2[[#This Row],[division]]&amp;Table2[[#This Row],[year]],
Teams[college]&amp;Teams[division]&amp;Teams[year],
Teams[finish], "NA")</f>
        <v>0.63680555555555551</v>
      </c>
    </row>
    <row r="231" spans="1:6" x14ac:dyDescent="0.3">
      <c r="A231" t="s">
        <v>501</v>
      </c>
      <c r="B231" t="s">
        <v>137</v>
      </c>
      <c r="C231">
        <v>3</v>
      </c>
      <c r="D231">
        <v>2024</v>
      </c>
      <c r="E231" cm="1">
        <f t="array" ref="E231">_xlfn.XLOOKUP(Table2[[#This Row],[college]]&amp;Table2[[#This Row],[division]]&amp;Table2[[#This Row],[year]],
Teams[college]&amp;Teams[division]&amp;Teams[year],
Teams[placing], "NA")</f>
        <v>4</v>
      </c>
      <c r="F231" s="1" cm="1">
        <f t="array" ref="F231">_xlfn.XLOOKUP(Table2[[#This Row],[college]]&amp;Table2[[#This Row],[division]]&amp;Table2[[#This Row],[year]],
Teams[college]&amp;Teams[division]&amp;Teams[year],
Teams[finish], "NA")</f>
        <v>0.68402777777777779</v>
      </c>
    </row>
    <row r="232" spans="1:6" x14ac:dyDescent="0.3">
      <c r="A232" t="s">
        <v>845</v>
      </c>
      <c r="B232" t="s">
        <v>10</v>
      </c>
      <c r="C232">
        <v>3</v>
      </c>
      <c r="D232">
        <v>2026</v>
      </c>
      <c r="E232" cm="1">
        <f t="array" ref="E232">_xlfn.XLOOKUP(Table2[[#This Row],[college]]&amp;Table2[[#This Row],[division]]&amp;Table2[[#This Row],[year]],
Teams[college]&amp;Teams[division]&amp;Teams[year],
Teams[placing], "NA")</f>
        <v>0</v>
      </c>
      <c r="F232" s="1" cm="1">
        <f t="array" ref="F232">_xlfn.XLOOKUP(Table2[[#This Row],[college]]&amp;Table2[[#This Row],[division]]&amp;Table2[[#This Row],[year]],
Teams[college]&amp;Teams[division]&amp;Teams[year],
Teams[finish], "NA")</f>
        <v>0</v>
      </c>
    </row>
    <row r="233" spans="1:6" x14ac:dyDescent="0.3">
      <c r="A233" t="s">
        <v>620</v>
      </c>
      <c r="B233" t="s">
        <v>132</v>
      </c>
      <c r="C233">
        <v>1</v>
      </c>
      <c r="D233">
        <v>2023</v>
      </c>
      <c r="E233" t="str" cm="1">
        <f t="array" ref="E233">_xlfn.XLOOKUP(Table2[[#This Row],[college]]&amp;Table2[[#This Row],[division]]&amp;Table2[[#This Row],[year]],
Teams[college]&amp;Teams[division]&amp;Teams[year],
Teams[placing], "NA")</f>
        <v>DNF</v>
      </c>
      <c r="F233" s="1" t="str" cm="1">
        <f t="array" ref="F233">_xlfn.XLOOKUP(Table2[[#This Row],[college]]&amp;Table2[[#This Row],[division]]&amp;Table2[[#This Row],[year]],
Teams[college]&amp;Teams[division]&amp;Teams[year],
Teams[finish], "NA")</f>
        <v>NA</v>
      </c>
    </row>
    <row r="234" spans="1:6" x14ac:dyDescent="0.3">
      <c r="A234" t="s">
        <v>324</v>
      </c>
      <c r="B234" t="s">
        <v>250</v>
      </c>
      <c r="C234">
        <v>7</v>
      </c>
      <c r="D234">
        <v>2025</v>
      </c>
      <c r="E234" cm="1">
        <f t="array" ref="E234">_xlfn.XLOOKUP(Table2[[#This Row],[college]]&amp;Table2[[#This Row],[division]]&amp;Table2[[#This Row],[year]],
Teams[college]&amp;Teams[division]&amp;Teams[year],
Teams[placing], "NA")</f>
        <v>3</v>
      </c>
      <c r="F234" s="1" cm="1">
        <f t="array" ref="F234">_xlfn.XLOOKUP(Table2[[#This Row],[college]]&amp;Table2[[#This Row],[division]]&amp;Table2[[#This Row],[year]],
Teams[college]&amp;Teams[division]&amp;Teams[year],
Teams[finish], "NA")</f>
        <v>0.50208333333333333</v>
      </c>
    </row>
    <row r="235" spans="1:6" x14ac:dyDescent="0.3">
      <c r="A235" t="s">
        <v>907</v>
      </c>
      <c r="B235" t="s">
        <v>19</v>
      </c>
      <c r="C235">
        <v>5</v>
      </c>
      <c r="D235">
        <v>2025</v>
      </c>
      <c r="E235" cm="1">
        <f t="array" ref="E235">_xlfn.XLOOKUP(Table2[[#This Row],[college]]&amp;Table2[[#This Row],[division]]&amp;Table2[[#This Row],[year]],
Teams[college]&amp;Teams[division]&amp;Teams[year],
Teams[placing], "NA")</f>
        <v>9</v>
      </c>
      <c r="F235" s="1" cm="1">
        <f t="array" ref="F235">_xlfn.XLOOKUP(Table2[[#This Row],[college]]&amp;Table2[[#This Row],[division]]&amp;Table2[[#This Row],[year]],
Teams[college]&amp;Teams[division]&amp;Teams[year],
Teams[finish], "NA")</f>
        <v>0.5756944444444444</v>
      </c>
    </row>
    <row r="236" spans="1:6" x14ac:dyDescent="0.3">
      <c r="A236" t="s">
        <v>907</v>
      </c>
      <c r="B236" t="s">
        <v>19</v>
      </c>
      <c r="C236">
        <v>5</v>
      </c>
      <c r="D236">
        <v>2026</v>
      </c>
      <c r="E236" cm="1">
        <f t="array" ref="E236">_xlfn.XLOOKUP(Table2[[#This Row],[college]]&amp;Table2[[#This Row],[division]]&amp;Table2[[#This Row],[year]],
Teams[college]&amp;Teams[division]&amp;Teams[year],
Teams[placing], "NA")</f>
        <v>0</v>
      </c>
      <c r="F236" s="1" cm="1">
        <f t="array" ref="F236">_xlfn.XLOOKUP(Table2[[#This Row],[college]]&amp;Table2[[#This Row],[division]]&amp;Table2[[#This Row],[year]],
Teams[college]&amp;Teams[division]&amp;Teams[year],
Teams[finish], "NA")</f>
        <v>0</v>
      </c>
    </row>
    <row r="237" spans="1:6" x14ac:dyDescent="0.3">
      <c r="A237" t="s">
        <v>277</v>
      </c>
      <c r="B237" t="s">
        <v>266</v>
      </c>
      <c r="C237">
        <v>1</v>
      </c>
      <c r="D237">
        <v>2025</v>
      </c>
      <c r="E237" cm="1">
        <f t="array" ref="E237">_xlfn.XLOOKUP(Table2[[#This Row],[college]]&amp;Table2[[#This Row],[division]]&amp;Table2[[#This Row],[year]],
Teams[college]&amp;Teams[division]&amp;Teams[year],
Teams[placing], "NA")</f>
        <v>6</v>
      </c>
      <c r="F237" s="1" cm="1">
        <f t="array" ref="F237">_xlfn.XLOOKUP(Table2[[#This Row],[college]]&amp;Table2[[#This Row],[division]]&amp;Table2[[#This Row],[year]],
Teams[college]&amp;Teams[division]&amp;Teams[year],
Teams[finish], "NA")</f>
        <v>0.63541666666666663</v>
      </c>
    </row>
    <row r="238" spans="1:6" x14ac:dyDescent="0.3">
      <c r="A238" t="s">
        <v>277</v>
      </c>
      <c r="B238" t="s">
        <v>266</v>
      </c>
      <c r="C238">
        <v>2</v>
      </c>
      <c r="D238">
        <v>2026</v>
      </c>
      <c r="E238" cm="1">
        <f t="array" ref="E238">_xlfn.XLOOKUP(Table2[[#This Row],[college]]&amp;Table2[[#This Row],[division]]&amp;Table2[[#This Row],[year]],
Teams[college]&amp;Teams[division]&amp;Teams[year],
Teams[placing], "NA")</f>
        <v>0</v>
      </c>
      <c r="F238" s="1" cm="1">
        <f t="array" ref="F238">_xlfn.XLOOKUP(Table2[[#This Row],[college]]&amp;Table2[[#This Row],[division]]&amp;Table2[[#This Row],[year]],
Teams[college]&amp;Teams[division]&amp;Teams[year],
Teams[finish], "NA")</f>
        <v>0</v>
      </c>
    </row>
    <row r="239" spans="1:6" x14ac:dyDescent="0.3">
      <c r="A239" t="s">
        <v>494</v>
      </c>
      <c r="B239" t="s">
        <v>48</v>
      </c>
      <c r="C239">
        <v>5</v>
      </c>
      <c r="D239">
        <v>2024</v>
      </c>
      <c r="E239" cm="1">
        <f t="array" ref="E239">_xlfn.XLOOKUP(Table2[[#This Row],[college]]&amp;Table2[[#This Row],[division]]&amp;Table2[[#This Row],[year]],
Teams[college]&amp;Teams[division]&amp;Teams[year],
Teams[placing], "NA")</f>
        <v>2</v>
      </c>
      <c r="F239" s="1" cm="1">
        <f t="array" ref="F239">_xlfn.XLOOKUP(Table2[[#This Row],[college]]&amp;Table2[[#This Row],[division]]&amp;Table2[[#This Row],[year]],
Teams[college]&amp;Teams[division]&amp;Teams[year],
Teams[finish], "NA")</f>
        <v>0.57361111111111107</v>
      </c>
    </row>
    <row r="240" spans="1:6" x14ac:dyDescent="0.3">
      <c r="A240" t="s">
        <v>396</v>
      </c>
      <c r="B240" t="s">
        <v>19</v>
      </c>
      <c r="C240">
        <v>1</v>
      </c>
      <c r="D240">
        <v>2024</v>
      </c>
      <c r="E240" cm="1">
        <f t="array" ref="E240">_xlfn.XLOOKUP(Table2[[#This Row],[college]]&amp;Table2[[#This Row],[division]]&amp;Table2[[#This Row],[year]],
Teams[college]&amp;Teams[division]&amp;Teams[year],
Teams[placing], "NA")</f>
        <v>6</v>
      </c>
      <c r="F240" s="1" cm="1">
        <f t="array" ref="F240">_xlfn.XLOOKUP(Table2[[#This Row],[college]]&amp;Table2[[#This Row],[division]]&amp;Table2[[#This Row],[year]],
Teams[college]&amp;Teams[division]&amp;Teams[year],
Teams[finish], "NA")</f>
        <v>0.68402777777777779</v>
      </c>
    </row>
    <row r="241" spans="1:6" x14ac:dyDescent="0.3">
      <c r="A241" t="s">
        <v>396</v>
      </c>
      <c r="B241" t="s">
        <v>19</v>
      </c>
      <c r="C241">
        <v>3</v>
      </c>
      <c r="D241">
        <v>2023</v>
      </c>
      <c r="E241" t="str" cm="1">
        <f t="array" ref="E241">_xlfn.XLOOKUP(Table2[[#This Row],[college]]&amp;Table2[[#This Row],[division]]&amp;Table2[[#This Row],[year]],
Teams[college]&amp;Teams[division]&amp;Teams[year],
Teams[placing], "NA")</f>
        <v>DNF</v>
      </c>
      <c r="F241" s="1" t="str" cm="1">
        <f t="array" ref="F241">_xlfn.XLOOKUP(Table2[[#This Row],[college]]&amp;Table2[[#This Row],[division]]&amp;Table2[[#This Row],[year]],
Teams[college]&amp;Teams[division]&amp;Teams[year],
Teams[finish], "NA")</f>
        <v>NA</v>
      </c>
    </row>
    <row r="242" spans="1:6" x14ac:dyDescent="0.3">
      <c r="A242" t="s">
        <v>282</v>
      </c>
      <c r="B242" t="s">
        <v>266</v>
      </c>
      <c r="C242">
        <v>5</v>
      </c>
      <c r="D242">
        <v>2025</v>
      </c>
      <c r="E242" cm="1">
        <f t="array" ref="E242">_xlfn.XLOOKUP(Table2[[#This Row],[college]]&amp;Table2[[#This Row],[division]]&amp;Table2[[#This Row],[year]],
Teams[college]&amp;Teams[division]&amp;Teams[year],
Teams[placing], "NA")</f>
        <v>10</v>
      </c>
      <c r="F242" s="1" cm="1">
        <f t="array" ref="F242">_xlfn.XLOOKUP(Table2[[#This Row],[college]]&amp;Table2[[#This Row],[division]]&amp;Table2[[#This Row],[year]],
Teams[college]&amp;Teams[division]&amp;Teams[year],
Teams[finish], "NA")</f>
        <v>0.63680555555555551</v>
      </c>
    </row>
    <row r="243" spans="1:6" x14ac:dyDescent="0.3">
      <c r="A243" t="s">
        <v>282</v>
      </c>
      <c r="B243" t="s">
        <v>266</v>
      </c>
      <c r="C243">
        <v>5</v>
      </c>
      <c r="D243">
        <v>2024</v>
      </c>
      <c r="E243" cm="1">
        <f t="array" ref="E243">_xlfn.XLOOKUP(Table2[[#This Row],[college]]&amp;Table2[[#This Row],[division]]&amp;Table2[[#This Row],[year]],
Teams[college]&amp;Teams[division]&amp;Teams[year],
Teams[placing], "NA")</f>
        <v>9</v>
      </c>
      <c r="F243" s="1" cm="1">
        <f t="array" ref="F243">_xlfn.XLOOKUP(Table2[[#This Row],[college]]&amp;Table2[[#This Row],[division]]&amp;Table2[[#This Row],[year]],
Teams[college]&amp;Teams[division]&amp;Teams[year],
Teams[finish], "NA")</f>
        <v>0.65902777777777777</v>
      </c>
    </row>
    <row r="244" spans="1:6" x14ac:dyDescent="0.3">
      <c r="A244" t="s">
        <v>873</v>
      </c>
      <c r="B244" t="s">
        <v>787</v>
      </c>
      <c r="C244">
        <v>4</v>
      </c>
      <c r="D244">
        <v>2026</v>
      </c>
      <c r="E244" t="str" cm="1">
        <f t="array" ref="E244">_xlfn.XLOOKUP(Table2[[#This Row],[college]]&amp;Table2[[#This Row],[division]]&amp;Table2[[#This Row],[year]],
Teams[college]&amp;Teams[division]&amp;Teams[year],
Teams[placing], "NA")</f>
        <v>NA</v>
      </c>
      <c r="F244" s="1" t="str" cm="1">
        <f t="array" ref="F244">_xlfn.XLOOKUP(Table2[[#This Row],[college]]&amp;Table2[[#This Row],[division]]&amp;Table2[[#This Row],[year]],
Teams[college]&amp;Teams[division]&amp;Teams[year],
Teams[finish], "NA")</f>
        <v>NA</v>
      </c>
    </row>
    <row r="245" spans="1:6" x14ac:dyDescent="0.3">
      <c r="A245" t="s">
        <v>784</v>
      </c>
      <c r="B245" t="s">
        <v>123</v>
      </c>
      <c r="C245">
        <v>6</v>
      </c>
      <c r="D245">
        <v>2026</v>
      </c>
      <c r="E245" cm="1">
        <f t="array" ref="E245">_xlfn.XLOOKUP(Table2[[#This Row],[college]]&amp;Table2[[#This Row],[division]]&amp;Table2[[#This Row],[year]],
Teams[college]&amp;Teams[division]&amp;Teams[year],
Teams[placing], "NA")</f>
        <v>0</v>
      </c>
      <c r="F245" s="1" cm="1">
        <f t="array" ref="F245">_xlfn.XLOOKUP(Table2[[#This Row],[college]]&amp;Table2[[#This Row],[division]]&amp;Table2[[#This Row],[year]],
Teams[college]&amp;Teams[division]&amp;Teams[year],
Teams[finish], "NA")</f>
        <v>0</v>
      </c>
    </row>
    <row r="246" spans="1:6" x14ac:dyDescent="0.3">
      <c r="A246" t="s">
        <v>809</v>
      </c>
      <c r="B246" t="s">
        <v>132</v>
      </c>
      <c r="C246">
        <v>2</v>
      </c>
      <c r="D246">
        <v>2026</v>
      </c>
      <c r="E246" cm="1">
        <f t="array" ref="E246">_xlfn.XLOOKUP(Table2[[#This Row],[college]]&amp;Table2[[#This Row],[division]]&amp;Table2[[#This Row],[year]],
Teams[college]&amp;Teams[division]&amp;Teams[year],
Teams[placing], "NA")</f>
        <v>0</v>
      </c>
      <c r="F246" s="1" cm="1">
        <f t="array" ref="F246">_xlfn.XLOOKUP(Table2[[#This Row],[college]]&amp;Table2[[#This Row],[division]]&amp;Table2[[#This Row],[year]],
Teams[college]&amp;Teams[division]&amp;Teams[year],
Teams[finish], "NA")</f>
        <v>0</v>
      </c>
    </row>
    <row r="247" spans="1:6" x14ac:dyDescent="0.3">
      <c r="A247" t="s">
        <v>269</v>
      </c>
      <c r="B247" t="s">
        <v>266</v>
      </c>
      <c r="C247">
        <v>6</v>
      </c>
      <c r="D247">
        <v>2025</v>
      </c>
      <c r="E247" cm="1">
        <f t="array" ref="E247">_xlfn.XLOOKUP(Table2[[#This Row],[college]]&amp;Table2[[#This Row],[division]]&amp;Table2[[#This Row],[year]],
Teams[college]&amp;Teams[division]&amp;Teams[year],
Teams[placing], "NA")</f>
        <v>8</v>
      </c>
      <c r="F247" s="1" cm="1">
        <f t="array" ref="F247">_xlfn.XLOOKUP(Table2[[#This Row],[college]]&amp;Table2[[#This Row],[division]]&amp;Table2[[#This Row],[year]],
Teams[college]&amp;Teams[division]&amp;Teams[year],
Teams[finish], "NA")</f>
        <v>0.67152777777777772</v>
      </c>
    </row>
    <row r="248" spans="1:6" x14ac:dyDescent="0.3">
      <c r="A248" t="s">
        <v>265</v>
      </c>
      <c r="B248" t="s">
        <v>266</v>
      </c>
      <c r="C248">
        <v>6</v>
      </c>
      <c r="D248">
        <v>2025</v>
      </c>
      <c r="E248" cm="1">
        <f t="array" ref="E248">_xlfn.XLOOKUP(Table2[[#This Row],[college]]&amp;Table2[[#This Row],[division]]&amp;Table2[[#This Row],[year]],
Teams[college]&amp;Teams[division]&amp;Teams[year],
Teams[placing], "NA")</f>
        <v>8</v>
      </c>
      <c r="F248" s="1" cm="1">
        <f t="array" ref="F248">_xlfn.XLOOKUP(Table2[[#This Row],[college]]&amp;Table2[[#This Row],[division]]&amp;Table2[[#This Row],[year]],
Teams[college]&amp;Teams[division]&amp;Teams[year],
Teams[finish], "NA")</f>
        <v>0.67152777777777772</v>
      </c>
    </row>
    <row r="249" spans="1:6" x14ac:dyDescent="0.3">
      <c r="A249" t="s">
        <v>265</v>
      </c>
      <c r="B249" t="s">
        <v>266</v>
      </c>
      <c r="C249">
        <v>5</v>
      </c>
      <c r="D249">
        <v>2026</v>
      </c>
      <c r="E249" cm="1">
        <f t="array" ref="E249">_xlfn.XLOOKUP(Table2[[#This Row],[college]]&amp;Table2[[#This Row],[division]]&amp;Table2[[#This Row],[year]],
Teams[college]&amp;Teams[division]&amp;Teams[year],
Teams[placing], "NA")</f>
        <v>0</v>
      </c>
      <c r="F249" s="1" cm="1">
        <f t="array" ref="F249">_xlfn.XLOOKUP(Table2[[#This Row],[college]]&amp;Table2[[#This Row],[division]]&amp;Table2[[#This Row],[year]],
Teams[college]&amp;Teams[division]&amp;Teams[year],
Teams[finish], "NA")</f>
        <v>0</v>
      </c>
    </row>
    <row r="250" spans="1:6" x14ac:dyDescent="0.3">
      <c r="A250" t="s">
        <v>628</v>
      </c>
      <c r="B250" t="s">
        <v>250</v>
      </c>
      <c r="C250">
        <v>3</v>
      </c>
      <c r="D250">
        <v>2023</v>
      </c>
      <c r="E250" cm="1">
        <f t="array" ref="E250">_xlfn.XLOOKUP(Table2[[#This Row],[college]]&amp;Table2[[#This Row],[division]]&amp;Table2[[#This Row],[year]],
Teams[college]&amp;Teams[division]&amp;Teams[year],
Teams[placing], "NA")</f>
        <v>2</v>
      </c>
      <c r="F250" s="1" cm="1">
        <f t="array" ref="F250">_xlfn.XLOOKUP(Table2[[#This Row],[college]]&amp;Table2[[#This Row],[division]]&amp;Table2[[#This Row],[year]],
Teams[college]&amp;Teams[division]&amp;Teams[year],
Teams[finish], "NA")</f>
        <v>0.59375</v>
      </c>
    </row>
    <row r="251" spans="1:6" x14ac:dyDescent="0.3">
      <c r="A251" t="s">
        <v>937</v>
      </c>
      <c r="B251" t="s">
        <v>132</v>
      </c>
      <c r="C251">
        <v>6</v>
      </c>
      <c r="D251">
        <v>2026</v>
      </c>
      <c r="E251" cm="1">
        <f t="array" ref="E251">_xlfn.XLOOKUP(Table2[[#This Row],[college]]&amp;Table2[[#This Row],[division]]&amp;Table2[[#This Row],[year]],
Teams[college]&amp;Teams[division]&amp;Teams[year],
Teams[placing], "NA")</f>
        <v>0</v>
      </c>
      <c r="F251" s="1" cm="1">
        <f t="array" ref="F251">_xlfn.XLOOKUP(Table2[[#This Row],[college]]&amp;Table2[[#This Row],[division]]&amp;Table2[[#This Row],[year]],
Teams[college]&amp;Teams[division]&amp;Teams[year],
Teams[finish], "NA")</f>
        <v>0</v>
      </c>
    </row>
    <row r="252" spans="1:6" x14ac:dyDescent="0.3">
      <c r="A252" t="s">
        <v>213</v>
      </c>
      <c r="B252" t="s">
        <v>137</v>
      </c>
      <c r="C252">
        <v>4</v>
      </c>
      <c r="D252">
        <v>2025</v>
      </c>
      <c r="E252" cm="1">
        <f t="array" ref="E252">_xlfn.XLOOKUP(Table2[[#This Row],[college]]&amp;Table2[[#This Row],[division]]&amp;Table2[[#This Row],[year]],
Teams[college]&amp;Teams[division]&amp;Teams[year],
Teams[placing], "NA")</f>
        <v>3</v>
      </c>
      <c r="F252" s="1" cm="1">
        <f t="array" ref="F252">_xlfn.XLOOKUP(Table2[[#This Row],[college]]&amp;Table2[[#This Row],[division]]&amp;Table2[[#This Row],[year]],
Teams[college]&amp;Teams[division]&amp;Teams[year],
Teams[finish], "NA")</f>
        <v>0.59236111111111112</v>
      </c>
    </row>
    <row r="253" spans="1:6" x14ac:dyDescent="0.3">
      <c r="A253" t="s">
        <v>213</v>
      </c>
      <c r="B253" t="s">
        <v>787</v>
      </c>
      <c r="C253">
        <v>5</v>
      </c>
      <c r="D253">
        <v>2026</v>
      </c>
      <c r="E253" t="str" cm="1">
        <f t="array" ref="E253">_xlfn.XLOOKUP(Table2[[#This Row],[college]]&amp;Table2[[#This Row],[division]]&amp;Table2[[#This Row],[year]],
Teams[college]&amp;Teams[division]&amp;Teams[year],
Teams[placing], "NA")</f>
        <v>NA</v>
      </c>
      <c r="F253" s="1" t="str" cm="1">
        <f t="array" ref="F253">_xlfn.XLOOKUP(Table2[[#This Row],[college]]&amp;Table2[[#This Row],[division]]&amp;Table2[[#This Row],[year]],
Teams[college]&amp;Teams[division]&amp;Teams[year],
Teams[finish], "NA")</f>
        <v>NA</v>
      </c>
    </row>
    <row r="254" spans="1:6" x14ac:dyDescent="0.3">
      <c r="A254" t="s">
        <v>640</v>
      </c>
      <c r="B254" t="s">
        <v>137</v>
      </c>
      <c r="C254">
        <v>7</v>
      </c>
      <c r="D254">
        <v>2023</v>
      </c>
      <c r="E254" cm="1">
        <f t="array" ref="E254">_xlfn.XLOOKUP(Table2[[#This Row],[college]]&amp;Table2[[#This Row],[division]]&amp;Table2[[#This Row],[year]],
Teams[college]&amp;Teams[division]&amp;Teams[year],
Teams[placing], "NA")</f>
        <v>3</v>
      </c>
      <c r="F254" s="1" cm="1">
        <f t="array" ref="F254">_xlfn.XLOOKUP(Table2[[#This Row],[college]]&amp;Table2[[#This Row],[division]]&amp;Table2[[#This Row],[year]],
Teams[college]&amp;Teams[division]&amp;Teams[year],
Teams[finish], "NA")</f>
        <v>0.55347222222222225</v>
      </c>
    </row>
    <row r="255" spans="1:6" x14ac:dyDescent="0.3">
      <c r="A255" t="s">
        <v>549</v>
      </c>
      <c r="B255" t="s">
        <v>123</v>
      </c>
      <c r="C255">
        <v>3</v>
      </c>
      <c r="D255">
        <v>2023</v>
      </c>
      <c r="E255" cm="1">
        <f t="array" ref="E255">_xlfn.XLOOKUP(Table2[[#This Row],[college]]&amp;Table2[[#This Row],[division]]&amp;Table2[[#This Row],[year]],
Teams[college]&amp;Teams[division]&amp;Teams[year],
Teams[placing], "NA")</f>
        <v>1</v>
      </c>
      <c r="F255" s="1" cm="1">
        <f t="array" ref="F255">_xlfn.XLOOKUP(Table2[[#This Row],[college]]&amp;Table2[[#This Row],[division]]&amp;Table2[[#This Row],[year]],
Teams[college]&amp;Teams[division]&amp;Teams[year],
Teams[finish], "NA")</f>
        <v>0.52777777777777779</v>
      </c>
    </row>
    <row r="256" spans="1:6" x14ac:dyDescent="0.3">
      <c r="A256" t="s">
        <v>549</v>
      </c>
      <c r="B256" t="s">
        <v>123</v>
      </c>
      <c r="C256">
        <v>1</v>
      </c>
      <c r="D256">
        <v>2022</v>
      </c>
      <c r="E256" cm="1">
        <f t="array" ref="E256">_xlfn.XLOOKUP(Table2[[#This Row],[college]]&amp;Table2[[#This Row],[division]]&amp;Table2[[#This Row],[year]],
Teams[college]&amp;Teams[division]&amp;Teams[year],
Teams[placing], "NA")</f>
        <v>3</v>
      </c>
      <c r="F256" s="1" cm="1">
        <f t="array" ref="F256">_xlfn.XLOOKUP(Table2[[#This Row],[college]]&amp;Table2[[#This Row],[division]]&amp;Table2[[#This Row],[year]],
Teams[college]&amp;Teams[division]&amp;Teams[year],
Teams[finish], "NA")</f>
        <v>0.55069444444444449</v>
      </c>
    </row>
    <row r="257" spans="1:6" x14ac:dyDescent="0.3">
      <c r="A257" t="s">
        <v>841</v>
      </c>
      <c r="B257" t="s">
        <v>132</v>
      </c>
      <c r="C257">
        <v>3</v>
      </c>
      <c r="D257">
        <v>2026</v>
      </c>
      <c r="E257" cm="1">
        <f t="array" ref="E257">_xlfn.XLOOKUP(Table2[[#This Row],[college]]&amp;Table2[[#This Row],[division]]&amp;Table2[[#This Row],[year]],
Teams[college]&amp;Teams[division]&amp;Teams[year],
Teams[placing], "NA")</f>
        <v>0</v>
      </c>
      <c r="F257" s="1" cm="1">
        <f t="array" ref="F257">_xlfn.XLOOKUP(Table2[[#This Row],[college]]&amp;Table2[[#This Row],[division]]&amp;Table2[[#This Row],[year]],
Teams[college]&amp;Teams[division]&amp;Teams[year],
Teams[finish], "NA")</f>
        <v>0</v>
      </c>
    </row>
    <row r="258" spans="1:6" x14ac:dyDescent="0.3">
      <c r="A258" t="s">
        <v>830</v>
      </c>
      <c r="B258" t="s">
        <v>132</v>
      </c>
      <c r="C258">
        <v>3</v>
      </c>
      <c r="D258">
        <v>2026</v>
      </c>
      <c r="E258" cm="1">
        <f t="array" ref="E258">_xlfn.XLOOKUP(Table2[[#This Row],[college]]&amp;Table2[[#This Row],[division]]&amp;Table2[[#This Row],[year]],
Teams[college]&amp;Teams[division]&amp;Teams[year],
Teams[placing], "NA")</f>
        <v>0</v>
      </c>
      <c r="F258" s="1" cm="1">
        <f t="array" ref="F258">_xlfn.XLOOKUP(Table2[[#This Row],[college]]&amp;Table2[[#This Row],[division]]&amp;Table2[[#This Row],[year]],
Teams[college]&amp;Teams[division]&amp;Teams[year],
Teams[finish], "NA")</f>
        <v>0</v>
      </c>
    </row>
    <row r="259" spans="1:6" x14ac:dyDescent="0.3">
      <c r="A259" t="s">
        <v>36</v>
      </c>
      <c r="B259" t="s">
        <v>5</v>
      </c>
      <c r="C259">
        <v>5</v>
      </c>
      <c r="D259">
        <v>2025</v>
      </c>
      <c r="E259" cm="1">
        <f t="array" ref="E259">_xlfn.XLOOKUP(Table2[[#This Row],[college]]&amp;Table2[[#This Row],[division]]&amp;Table2[[#This Row],[year]],
Teams[college]&amp;Teams[division]&amp;Teams[year],
Teams[placing], "NA")</f>
        <v>4</v>
      </c>
      <c r="F259" s="1" cm="1">
        <f t="array" ref="F259">_xlfn.XLOOKUP(Table2[[#This Row],[college]]&amp;Table2[[#This Row],[division]]&amp;Table2[[#This Row],[year]],
Teams[college]&amp;Teams[division]&amp;Teams[year],
Teams[finish], "NA")</f>
        <v>0.47083333333333333</v>
      </c>
    </row>
    <row r="260" spans="1:6" x14ac:dyDescent="0.3">
      <c r="A260" t="s">
        <v>36</v>
      </c>
      <c r="B260" t="s">
        <v>5</v>
      </c>
      <c r="C260">
        <v>4</v>
      </c>
      <c r="D260">
        <v>2026</v>
      </c>
      <c r="E260" cm="1">
        <f t="array" ref="E260">_xlfn.XLOOKUP(Table2[[#This Row],[college]]&amp;Table2[[#This Row],[division]]&amp;Table2[[#This Row],[year]],
Teams[college]&amp;Teams[division]&amp;Teams[year],
Teams[placing], "NA")</f>
        <v>0</v>
      </c>
      <c r="F260" s="1" cm="1">
        <f t="array" ref="F260">_xlfn.XLOOKUP(Table2[[#This Row],[college]]&amp;Table2[[#This Row],[division]]&amp;Table2[[#This Row],[year]],
Teams[college]&amp;Teams[division]&amp;Teams[year],
Teams[finish], "NA")</f>
        <v>0</v>
      </c>
    </row>
    <row r="261" spans="1:6" x14ac:dyDescent="0.3">
      <c r="A261" t="s">
        <v>72</v>
      </c>
      <c r="B261" t="s">
        <v>5</v>
      </c>
      <c r="C261">
        <v>4</v>
      </c>
      <c r="D261">
        <v>2025</v>
      </c>
      <c r="E261" cm="1">
        <f t="array" ref="E261">_xlfn.XLOOKUP(Table2[[#This Row],[college]]&amp;Table2[[#This Row],[division]]&amp;Table2[[#This Row],[year]],
Teams[college]&amp;Teams[division]&amp;Teams[year],
Teams[placing], "NA")</f>
        <v>2</v>
      </c>
      <c r="F261" s="1" cm="1">
        <f t="array" ref="F261">_xlfn.XLOOKUP(Table2[[#This Row],[college]]&amp;Table2[[#This Row],[division]]&amp;Table2[[#This Row],[year]],
Teams[college]&amp;Teams[division]&amp;Teams[year],
Teams[finish], "NA")</f>
        <v>0.57222222222222219</v>
      </c>
    </row>
    <row r="262" spans="1:6" x14ac:dyDescent="0.3">
      <c r="A262" t="s">
        <v>72</v>
      </c>
      <c r="B262" t="s">
        <v>5</v>
      </c>
      <c r="C262">
        <v>6</v>
      </c>
      <c r="D262">
        <v>2026</v>
      </c>
      <c r="E262" cm="1">
        <f t="array" ref="E262">_xlfn.XLOOKUP(Table2[[#This Row],[college]]&amp;Table2[[#This Row],[division]]&amp;Table2[[#This Row],[year]],
Teams[college]&amp;Teams[division]&amp;Teams[year],
Teams[placing], "NA")</f>
        <v>0</v>
      </c>
      <c r="F262" s="1" cm="1">
        <f t="array" ref="F262">_xlfn.XLOOKUP(Table2[[#This Row],[college]]&amp;Table2[[#This Row],[division]]&amp;Table2[[#This Row],[year]],
Teams[college]&amp;Teams[division]&amp;Teams[year],
Teams[finish], "NA")</f>
        <v>0</v>
      </c>
    </row>
    <row r="263" spans="1:6" x14ac:dyDescent="0.3">
      <c r="A263" t="s">
        <v>654</v>
      </c>
      <c r="B263" t="s">
        <v>266</v>
      </c>
      <c r="C263">
        <v>5</v>
      </c>
      <c r="D263">
        <v>2022</v>
      </c>
      <c r="E263" cm="1">
        <f t="array" ref="E263">_xlfn.XLOOKUP(Table2[[#This Row],[college]]&amp;Table2[[#This Row],[division]]&amp;Table2[[#This Row],[year]],
Teams[college]&amp;Teams[division]&amp;Teams[year],
Teams[placing], "NA")</f>
        <v>8</v>
      </c>
      <c r="F263" s="1" cm="1">
        <f t="array" ref="F263">_xlfn.XLOOKUP(Table2[[#This Row],[college]]&amp;Table2[[#This Row],[division]]&amp;Table2[[#This Row],[year]],
Teams[college]&amp;Teams[division]&amp;Teams[year],
Teams[finish], "NA")</f>
        <v>0.6381944444444444</v>
      </c>
    </row>
    <row r="264" spans="1:6" x14ac:dyDescent="0.3">
      <c r="A264" t="s">
        <v>654</v>
      </c>
      <c r="B264" t="s">
        <v>755</v>
      </c>
      <c r="C264">
        <v>4</v>
      </c>
      <c r="D264">
        <v>2023</v>
      </c>
      <c r="E264" t="str" cm="1">
        <f t="array" ref="E264">_xlfn.XLOOKUP(Table2[[#This Row],[college]]&amp;Table2[[#This Row],[division]]&amp;Table2[[#This Row],[year]],
Teams[college]&amp;Teams[division]&amp;Teams[year],
Teams[placing], "NA")</f>
        <v>DNF</v>
      </c>
      <c r="F264" s="1" t="str" cm="1">
        <f t="array" ref="F264">_xlfn.XLOOKUP(Table2[[#This Row],[college]]&amp;Table2[[#This Row],[division]]&amp;Table2[[#This Row],[year]],
Teams[college]&amp;Teams[division]&amp;Teams[year],
Teams[finish], "NA")</f>
        <v>NA</v>
      </c>
    </row>
    <row r="265" spans="1:6" x14ac:dyDescent="0.3">
      <c r="A265" t="s">
        <v>202</v>
      </c>
      <c r="B265" t="s">
        <v>5</v>
      </c>
      <c r="C265">
        <v>2</v>
      </c>
      <c r="D265">
        <v>2026</v>
      </c>
      <c r="E265" cm="1">
        <f t="array" ref="E265">_xlfn.XLOOKUP(Table2[[#This Row],[college]]&amp;Table2[[#This Row],[division]]&amp;Table2[[#This Row],[year]],
Teams[college]&amp;Teams[division]&amp;Teams[year],
Teams[placing], "NA")</f>
        <v>0</v>
      </c>
      <c r="F265" s="1" cm="1">
        <f t="array" ref="F265">_xlfn.XLOOKUP(Table2[[#This Row],[college]]&amp;Table2[[#This Row],[division]]&amp;Table2[[#This Row],[year]],
Teams[college]&amp;Teams[division]&amp;Teams[year],
Teams[finish], "NA")</f>
        <v>0</v>
      </c>
    </row>
    <row r="266" spans="1:6" x14ac:dyDescent="0.3">
      <c r="A266" t="s">
        <v>202</v>
      </c>
      <c r="B266" t="s">
        <v>5</v>
      </c>
      <c r="C266">
        <v>1</v>
      </c>
      <c r="D266">
        <v>2025</v>
      </c>
      <c r="E266" cm="1">
        <f t="array" ref="E266">_xlfn.XLOOKUP(Table2[[#This Row],[college]]&amp;Table2[[#This Row],[division]]&amp;Table2[[#This Row],[year]],
Teams[college]&amp;Teams[division]&amp;Teams[year],
Teams[placing], "NA")</f>
        <v>1</v>
      </c>
      <c r="F266" s="1" cm="1">
        <f t="array" ref="F266">_xlfn.XLOOKUP(Table2[[#This Row],[college]]&amp;Table2[[#This Row],[division]]&amp;Table2[[#This Row],[year]],
Teams[college]&amp;Teams[division]&amp;Teams[year],
Teams[finish], "NA")</f>
        <v>0.38472222222222224</v>
      </c>
    </row>
    <row r="267" spans="1:6" x14ac:dyDescent="0.3">
      <c r="A267" t="s">
        <v>202</v>
      </c>
      <c r="B267" t="s">
        <v>5</v>
      </c>
      <c r="C267">
        <v>1</v>
      </c>
      <c r="D267">
        <v>2022</v>
      </c>
      <c r="E267" cm="1">
        <f t="array" ref="E267">_xlfn.XLOOKUP(Table2[[#This Row],[college]]&amp;Table2[[#This Row],[division]]&amp;Table2[[#This Row],[year]],
Teams[college]&amp;Teams[division]&amp;Teams[year],
Teams[placing], "NA")</f>
        <v>1</v>
      </c>
      <c r="F267" s="1" cm="1">
        <f t="array" ref="F267">_xlfn.XLOOKUP(Table2[[#This Row],[college]]&amp;Table2[[#This Row],[division]]&amp;Table2[[#This Row],[year]],
Teams[college]&amp;Teams[division]&amp;Teams[year],
Teams[finish], "NA")</f>
        <v>0.45</v>
      </c>
    </row>
    <row r="268" spans="1:6" x14ac:dyDescent="0.3">
      <c r="A268" t="s">
        <v>202</v>
      </c>
      <c r="B268" t="s">
        <v>5</v>
      </c>
      <c r="C268">
        <v>1</v>
      </c>
      <c r="D268">
        <v>2024</v>
      </c>
      <c r="E268" cm="1">
        <f t="array" ref="E268">_xlfn.XLOOKUP(Table2[[#This Row],[college]]&amp;Table2[[#This Row],[division]]&amp;Table2[[#This Row],[year]],
Teams[college]&amp;Teams[division]&amp;Teams[year],
Teams[placing], "NA")</f>
        <v>1</v>
      </c>
      <c r="F268" s="1" cm="1">
        <f t="array" ref="F268">_xlfn.XLOOKUP(Table2[[#This Row],[college]]&amp;Table2[[#This Row],[division]]&amp;Table2[[#This Row],[year]],
Teams[college]&amp;Teams[division]&amp;Teams[year],
Teams[finish], "NA")</f>
        <v>0.49652777777777779</v>
      </c>
    </row>
    <row r="269" spans="1:6" x14ac:dyDescent="0.3">
      <c r="A269" t="s">
        <v>202</v>
      </c>
      <c r="B269" t="s">
        <v>5</v>
      </c>
      <c r="C269">
        <v>1</v>
      </c>
      <c r="D269">
        <v>2023</v>
      </c>
      <c r="E269" t="str" cm="1">
        <f t="array" ref="E269">_xlfn.XLOOKUP(Table2[[#This Row],[college]]&amp;Table2[[#This Row],[division]]&amp;Table2[[#This Row],[year]],
Teams[college]&amp;Teams[division]&amp;Teams[year],
Teams[placing], "NA")</f>
        <v>DNF</v>
      </c>
      <c r="F269" s="1" t="str" cm="1">
        <f t="array" ref="F269">_xlfn.XLOOKUP(Table2[[#This Row],[college]]&amp;Table2[[#This Row],[division]]&amp;Table2[[#This Row],[year]],
Teams[college]&amp;Teams[division]&amp;Teams[year],
Teams[finish], "NA")</f>
        <v>NA</v>
      </c>
    </row>
    <row r="270" spans="1:6" x14ac:dyDescent="0.3">
      <c r="A270" t="s">
        <v>555</v>
      </c>
      <c r="B270" t="s">
        <v>266</v>
      </c>
      <c r="C270">
        <v>7</v>
      </c>
      <c r="D270">
        <v>2023</v>
      </c>
      <c r="E270" cm="1">
        <f t="array" ref="E270">_xlfn.XLOOKUP(Table2[[#This Row],[college]]&amp;Table2[[#This Row],[division]]&amp;Table2[[#This Row],[year]],
Teams[college]&amp;Teams[division]&amp;Teams[year],
Teams[placing], "NA")</f>
        <v>6</v>
      </c>
      <c r="F270" s="1" cm="1">
        <f t="array" ref="F270">_xlfn.XLOOKUP(Table2[[#This Row],[college]]&amp;Table2[[#This Row],[division]]&amp;Table2[[#This Row],[year]],
Teams[college]&amp;Teams[division]&amp;Teams[year],
Teams[finish], "NA")</f>
        <v>0.58819444444444446</v>
      </c>
    </row>
    <row r="271" spans="1:6" x14ac:dyDescent="0.3">
      <c r="A271" t="s">
        <v>234</v>
      </c>
      <c r="B271" t="s">
        <v>757</v>
      </c>
      <c r="C271">
        <v>5</v>
      </c>
      <c r="D271">
        <v>2025</v>
      </c>
      <c r="E271" t="str" cm="1">
        <f t="array" ref="E271">_xlfn.XLOOKUP(Table2[[#This Row],[college]]&amp;Table2[[#This Row],[division]]&amp;Table2[[#This Row],[year]],
Teams[college]&amp;Teams[division]&amp;Teams[year],
Teams[placing], "NA")</f>
        <v>NA</v>
      </c>
      <c r="F271" s="1" cm="1">
        <f t="array" ref="F271">_xlfn.XLOOKUP(Table2[[#This Row],[college]]&amp;Table2[[#This Row],[division]]&amp;Table2[[#This Row],[year]],
Teams[college]&amp;Teams[division]&amp;Teams[year],
Teams[finish], "NA")</f>
        <v>0.53472222222222221</v>
      </c>
    </row>
    <row r="272" spans="1:6" x14ac:dyDescent="0.3">
      <c r="A272" t="s">
        <v>234</v>
      </c>
      <c r="B272" t="s">
        <v>132</v>
      </c>
      <c r="C272">
        <v>2</v>
      </c>
      <c r="D272">
        <v>2023</v>
      </c>
      <c r="E272" t="str" cm="1">
        <f t="array" ref="E272">_xlfn.XLOOKUP(Table2[[#This Row],[college]]&amp;Table2[[#This Row],[division]]&amp;Table2[[#This Row],[year]],
Teams[college]&amp;Teams[division]&amp;Teams[year],
Teams[placing], "NA")</f>
        <v>DNF</v>
      </c>
      <c r="F272" s="1" t="str" cm="1">
        <f t="array" ref="F272">_xlfn.XLOOKUP(Table2[[#This Row],[college]]&amp;Table2[[#This Row],[division]]&amp;Table2[[#This Row],[year]],
Teams[college]&amp;Teams[division]&amp;Teams[year],
Teams[finish], "NA")</f>
        <v>NA</v>
      </c>
    </row>
    <row r="273" spans="1:6" x14ac:dyDescent="0.3">
      <c r="A273" t="s">
        <v>448</v>
      </c>
      <c r="B273" t="s">
        <v>241</v>
      </c>
      <c r="C273">
        <v>6</v>
      </c>
      <c r="D273">
        <v>2024</v>
      </c>
      <c r="E273" t="str" cm="1">
        <f t="array" ref="E273">_xlfn.XLOOKUP(Table2[[#This Row],[college]]&amp;Table2[[#This Row],[division]]&amp;Table2[[#This Row],[year]],
Teams[college]&amp;Teams[division]&amp;Teams[year],
Teams[placing], "NA")</f>
        <v>DNF</v>
      </c>
      <c r="F273" s="1" t="str" cm="1">
        <f t="array" ref="F273">_xlfn.XLOOKUP(Table2[[#This Row],[college]]&amp;Table2[[#This Row],[division]]&amp;Table2[[#This Row],[year]],
Teams[college]&amp;Teams[division]&amp;Teams[year],
Teams[finish], "NA")</f>
        <v>NA</v>
      </c>
    </row>
    <row r="274" spans="1:6" x14ac:dyDescent="0.3">
      <c r="A274" t="s">
        <v>643</v>
      </c>
      <c r="B274" t="s">
        <v>241</v>
      </c>
      <c r="C274">
        <v>6</v>
      </c>
      <c r="D274">
        <v>2023</v>
      </c>
      <c r="E274" cm="1">
        <f t="array" ref="E274">_xlfn.XLOOKUP(Table2[[#This Row],[college]]&amp;Table2[[#This Row],[division]]&amp;Table2[[#This Row],[year]],
Teams[college]&amp;Teams[division]&amp;Teams[year],
Teams[placing], "NA")</f>
        <v>4</v>
      </c>
      <c r="F274" s="1" cm="1">
        <f t="array" ref="F274">_xlfn.XLOOKUP(Table2[[#This Row],[college]]&amp;Table2[[#This Row],[division]]&amp;Table2[[#This Row],[year]],
Teams[college]&amp;Teams[division]&amp;Teams[year],
Teams[finish], "NA")</f>
        <v>0.65833333333333333</v>
      </c>
    </row>
    <row r="275" spans="1:6" x14ac:dyDescent="0.3">
      <c r="A275" t="s">
        <v>301</v>
      </c>
      <c r="B275" t="s">
        <v>241</v>
      </c>
      <c r="C275">
        <v>6</v>
      </c>
      <c r="D275">
        <v>2025</v>
      </c>
      <c r="E275" cm="1">
        <f t="array" ref="E275">_xlfn.XLOOKUP(Table2[[#This Row],[college]]&amp;Table2[[#This Row],[division]]&amp;Table2[[#This Row],[year]],
Teams[college]&amp;Teams[division]&amp;Teams[year],
Teams[placing], "NA")</f>
        <v>8</v>
      </c>
      <c r="F275" s="1" cm="1">
        <f t="array" ref="F275">_xlfn.XLOOKUP(Table2[[#This Row],[college]]&amp;Table2[[#This Row],[division]]&amp;Table2[[#This Row],[year]],
Teams[college]&amp;Teams[division]&amp;Teams[year],
Teams[finish], "NA")</f>
        <v>0.67152777777777772</v>
      </c>
    </row>
    <row r="276" spans="1:6" x14ac:dyDescent="0.3">
      <c r="A276" t="s">
        <v>301</v>
      </c>
      <c r="B276" t="s">
        <v>241</v>
      </c>
      <c r="C276">
        <v>3</v>
      </c>
      <c r="D276">
        <v>2026</v>
      </c>
      <c r="E276" cm="1">
        <f t="array" ref="E276">_xlfn.XLOOKUP(Table2[[#This Row],[college]]&amp;Table2[[#This Row],[division]]&amp;Table2[[#This Row],[year]],
Teams[college]&amp;Teams[division]&amp;Teams[year],
Teams[placing], "NA")</f>
        <v>0</v>
      </c>
      <c r="F276" s="1" cm="1">
        <f t="array" ref="F276">_xlfn.XLOOKUP(Table2[[#This Row],[college]]&amp;Table2[[#This Row],[division]]&amp;Table2[[#This Row],[year]],
Teams[college]&amp;Teams[division]&amp;Teams[year],
Teams[finish], "NA")</f>
        <v>0</v>
      </c>
    </row>
    <row r="277" spans="1:6" x14ac:dyDescent="0.3">
      <c r="A277" t="s">
        <v>429</v>
      </c>
      <c r="B277" t="s">
        <v>754</v>
      </c>
      <c r="C277">
        <v>5</v>
      </c>
      <c r="D277">
        <v>2024</v>
      </c>
      <c r="E277" t="str" cm="1">
        <f t="array" ref="E277">_xlfn.XLOOKUP(Table2[[#This Row],[college]]&amp;Table2[[#This Row],[division]]&amp;Table2[[#This Row],[year]],
Teams[college]&amp;Teams[division]&amp;Teams[year],
Teams[placing], "NA")</f>
        <v>NA</v>
      </c>
      <c r="F277" s="1" cm="1">
        <f t="array" ref="F277">_xlfn.XLOOKUP(Table2[[#This Row],[college]]&amp;Table2[[#This Row],[division]]&amp;Table2[[#This Row],[year]],
Teams[college]&amp;Teams[division]&amp;Teams[year],
Teams[finish], "NA")</f>
        <v>0.4777777777777778</v>
      </c>
    </row>
    <row r="278" spans="1:6" x14ac:dyDescent="0.3">
      <c r="A278" t="s">
        <v>12</v>
      </c>
      <c r="B278" t="s">
        <v>10</v>
      </c>
      <c r="C278">
        <v>1</v>
      </c>
      <c r="D278">
        <v>2025</v>
      </c>
      <c r="E278" t="str" cm="1">
        <f t="array" ref="E278">_xlfn.XLOOKUP(Table2[[#This Row],[college]]&amp;Table2[[#This Row],[division]]&amp;Table2[[#This Row],[year]],
Teams[college]&amp;Teams[division]&amp;Teams[year],
Teams[placing], "NA")</f>
        <v>DNF</v>
      </c>
      <c r="F278" s="1" t="str" cm="1">
        <f t="array" ref="F278">_xlfn.XLOOKUP(Table2[[#This Row],[college]]&amp;Table2[[#This Row],[division]]&amp;Table2[[#This Row],[year]],
Teams[college]&amp;Teams[division]&amp;Teams[year],
Teams[finish], "NA")</f>
        <v>NA</v>
      </c>
    </row>
    <row r="279" spans="1:6" x14ac:dyDescent="0.3">
      <c r="A279" t="s">
        <v>12</v>
      </c>
      <c r="B279" t="s">
        <v>10</v>
      </c>
      <c r="C279">
        <v>3</v>
      </c>
      <c r="D279">
        <v>2024</v>
      </c>
      <c r="E279" t="str" cm="1">
        <f t="array" ref="E279">_xlfn.XLOOKUP(Table2[[#This Row],[college]]&amp;Table2[[#This Row],[division]]&amp;Table2[[#This Row],[year]],
Teams[college]&amp;Teams[division]&amp;Teams[year],
Teams[placing], "NA")</f>
        <v>DNF</v>
      </c>
      <c r="F279" s="1" t="str" cm="1">
        <f t="array" ref="F279">_xlfn.XLOOKUP(Table2[[#This Row],[college]]&amp;Table2[[#This Row],[division]]&amp;Table2[[#This Row],[year]],
Teams[college]&amp;Teams[division]&amp;Teams[year],
Teams[finish], "NA")</f>
        <v>NA</v>
      </c>
    </row>
    <row r="280" spans="1:6" x14ac:dyDescent="0.3">
      <c r="A280" t="s">
        <v>140</v>
      </c>
      <c r="B280" t="s">
        <v>137</v>
      </c>
      <c r="C280">
        <v>6</v>
      </c>
      <c r="D280">
        <v>2025</v>
      </c>
      <c r="E280" cm="1">
        <f t="array" ref="E280">_xlfn.XLOOKUP(Table2[[#This Row],[college]]&amp;Table2[[#This Row],[division]]&amp;Table2[[#This Row],[year]],
Teams[college]&amp;Teams[division]&amp;Teams[year],
Teams[placing], "NA")</f>
        <v>6</v>
      </c>
      <c r="F280" s="1" cm="1">
        <f t="array" ref="F280">_xlfn.XLOOKUP(Table2[[#This Row],[college]]&amp;Table2[[#This Row],[division]]&amp;Table2[[#This Row],[year]],
Teams[college]&amp;Teams[division]&amp;Teams[year],
Teams[finish], "NA")</f>
        <v>0.56944444444444442</v>
      </c>
    </row>
    <row r="281" spans="1:6" x14ac:dyDescent="0.3">
      <c r="A281" t="s">
        <v>563</v>
      </c>
      <c r="B281" t="s">
        <v>15</v>
      </c>
      <c r="C281">
        <v>7</v>
      </c>
      <c r="D281">
        <v>2022</v>
      </c>
      <c r="E281" cm="1">
        <f t="array" ref="E281">_xlfn.XLOOKUP(Table2[[#This Row],[college]]&amp;Table2[[#This Row],[division]]&amp;Table2[[#This Row],[year]],
Teams[college]&amp;Teams[division]&amp;Teams[year],
Teams[placing], "NA")</f>
        <v>5</v>
      </c>
      <c r="F281" s="1" cm="1">
        <f t="array" ref="F281">_xlfn.XLOOKUP(Table2[[#This Row],[college]]&amp;Table2[[#This Row],[division]]&amp;Table2[[#This Row],[year]],
Teams[college]&amp;Teams[division]&amp;Teams[year],
Teams[finish], "NA")</f>
        <v>0.46388888888888891</v>
      </c>
    </row>
    <row r="282" spans="1:6" x14ac:dyDescent="0.3">
      <c r="A282" t="s">
        <v>563</v>
      </c>
      <c r="B282" t="s">
        <v>15</v>
      </c>
      <c r="C282">
        <v>7</v>
      </c>
      <c r="D282">
        <v>2023</v>
      </c>
      <c r="E282" cm="1">
        <f t="array" ref="E282">_xlfn.XLOOKUP(Table2[[#This Row],[college]]&amp;Table2[[#This Row],[division]]&amp;Table2[[#This Row],[year]],
Teams[college]&amp;Teams[division]&amp;Teams[year],
Teams[placing], "NA")</f>
        <v>1</v>
      </c>
      <c r="F282" s="1" cm="1">
        <f t="array" ref="F282">_xlfn.XLOOKUP(Table2[[#This Row],[college]]&amp;Table2[[#This Row],[division]]&amp;Table2[[#This Row],[year]],
Teams[college]&amp;Teams[division]&amp;Teams[year],
Teams[finish], "NA")</f>
        <v>0.50763888888888886</v>
      </c>
    </row>
    <row r="283" spans="1:6" x14ac:dyDescent="0.3">
      <c r="A283" t="s">
        <v>215</v>
      </c>
      <c r="B283" t="s">
        <v>123</v>
      </c>
      <c r="C283">
        <v>1</v>
      </c>
      <c r="D283">
        <v>2025</v>
      </c>
      <c r="E283" cm="1">
        <f t="array" ref="E283">_xlfn.XLOOKUP(Table2[[#This Row],[college]]&amp;Table2[[#This Row],[division]]&amp;Table2[[#This Row],[year]],
Teams[college]&amp;Teams[division]&amp;Teams[year],
Teams[placing], "NA")</f>
        <v>7</v>
      </c>
      <c r="F283" s="1" cm="1">
        <f t="array" ref="F283">_xlfn.XLOOKUP(Table2[[#This Row],[college]]&amp;Table2[[#This Row],[division]]&amp;Table2[[#This Row],[year]],
Teams[college]&amp;Teams[division]&amp;Teams[year],
Teams[finish], "NA")</f>
        <v>0.65625</v>
      </c>
    </row>
    <row r="284" spans="1:6" x14ac:dyDescent="0.3">
      <c r="A284" t="s">
        <v>215</v>
      </c>
      <c r="B284" t="s">
        <v>123</v>
      </c>
      <c r="C284">
        <v>3</v>
      </c>
      <c r="D284">
        <v>2024</v>
      </c>
      <c r="E284" t="str" cm="1">
        <f t="array" ref="E284">_xlfn.XLOOKUP(Table2[[#This Row],[college]]&amp;Table2[[#This Row],[division]]&amp;Table2[[#This Row],[year]],
Teams[college]&amp;Teams[division]&amp;Teams[year],
Teams[placing], "NA")</f>
        <v>DNF</v>
      </c>
      <c r="F284" s="1" t="str" cm="1">
        <f t="array" ref="F284">_xlfn.XLOOKUP(Table2[[#This Row],[college]]&amp;Table2[[#This Row],[division]]&amp;Table2[[#This Row],[year]],
Teams[college]&amp;Teams[division]&amp;Teams[year],
Teams[finish], "NA")</f>
        <v>NA</v>
      </c>
    </row>
    <row r="285" spans="1:6" x14ac:dyDescent="0.3">
      <c r="A285" t="s">
        <v>486</v>
      </c>
      <c r="B285" t="s">
        <v>137</v>
      </c>
      <c r="C285">
        <v>6</v>
      </c>
      <c r="D285">
        <v>2024</v>
      </c>
      <c r="E285" cm="1">
        <f t="array" ref="E285">_xlfn.XLOOKUP(Table2[[#This Row],[college]]&amp;Table2[[#This Row],[division]]&amp;Table2[[#This Row],[year]],
Teams[college]&amp;Teams[division]&amp;Teams[year],
Teams[placing], "NA")</f>
        <v>2</v>
      </c>
      <c r="F285" s="1" cm="1">
        <f t="array" ref="F285">_xlfn.XLOOKUP(Table2[[#This Row],[college]]&amp;Table2[[#This Row],[division]]&amp;Table2[[#This Row],[year]],
Teams[college]&amp;Teams[division]&amp;Teams[year],
Teams[finish], "NA")</f>
        <v>0.61111111111111116</v>
      </c>
    </row>
    <row r="286" spans="1:6" x14ac:dyDescent="0.3">
      <c r="A286" t="s">
        <v>486</v>
      </c>
      <c r="B286" t="s">
        <v>137</v>
      </c>
      <c r="C286">
        <v>6</v>
      </c>
      <c r="D286">
        <v>2023</v>
      </c>
      <c r="E286" cm="1">
        <f t="array" ref="E286">_xlfn.XLOOKUP(Table2[[#This Row],[college]]&amp;Table2[[#This Row],[division]]&amp;Table2[[#This Row],[year]],
Teams[college]&amp;Teams[division]&amp;Teams[year],
Teams[placing], "NA")</f>
        <v>9</v>
      </c>
      <c r="F286" s="1" cm="1">
        <f t="array" ref="F286">_xlfn.XLOOKUP(Table2[[#This Row],[college]]&amp;Table2[[#This Row],[division]]&amp;Table2[[#This Row],[year]],
Teams[college]&amp;Teams[division]&amp;Teams[year],
Teams[finish], "NA")</f>
        <v>0.68194444444444446</v>
      </c>
    </row>
    <row r="287" spans="1:6" x14ac:dyDescent="0.3">
      <c r="A287" t="s">
        <v>193</v>
      </c>
      <c r="B287" t="s">
        <v>132</v>
      </c>
      <c r="C287">
        <v>7</v>
      </c>
      <c r="D287">
        <v>2025</v>
      </c>
      <c r="E287" cm="1">
        <f t="array" ref="E287">_xlfn.XLOOKUP(Table2[[#This Row],[college]]&amp;Table2[[#This Row],[division]]&amp;Table2[[#This Row],[year]],
Teams[college]&amp;Teams[division]&amp;Teams[year],
Teams[placing], "NA")</f>
        <v>2</v>
      </c>
      <c r="F287" s="1" cm="1">
        <f t="array" ref="F287">_xlfn.XLOOKUP(Table2[[#This Row],[college]]&amp;Table2[[#This Row],[division]]&amp;Table2[[#This Row],[year]],
Teams[college]&amp;Teams[division]&amp;Teams[year],
Teams[finish], "NA")</f>
        <v>0.48402777777777778</v>
      </c>
    </row>
    <row r="288" spans="1:6" x14ac:dyDescent="0.3">
      <c r="A288" t="s">
        <v>590</v>
      </c>
      <c r="B288" t="s">
        <v>19</v>
      </c>
      <c r="C288">
        <v>3</v>
      </c>
      <c r="D288">
        <v>2022</v>
      </c>
      <c r="E288" cm="1">
        <f t="array" ref="E288">_xlfn.XLOOKUP(Table2[[#This Row],[college]]&amp;Table2[[#This Row],[division]]&amp;Table2[[#This Row],[year]],
Teams[college]&amp;Teams[division]&amp;Teams[year],
Teams[placing], "NA")</f>
        <v>4</v>
      </c>
      <c r="F288" s="1" cm="1">
        <f t="array" ref="F288">_xlfn.XLOOKUP(Table2[[#This Row],[college]]&amp;Table2[[#This Row],[division]]&amp;Table2[[#This Row],[year]],
Teams[college]&amp;Teams[division]&amp;Teams[year],
Teams[finish], "NA")</f>
        <v>0.51180555555555562</v>
      </c>
    </row>
    <row r="289" spans="1:6" x14ac:dyDescent="0.3">
      <c r="A289" t="s">
        <v>590</v>
      </c>
      <c r="B289" t="s">
        <v>19</v>
      </c>
      <c r="C289">
        <v>3</v>
      </c>
      <c r="D289">
        <v>2023</v>
      </c>
      <c r="E289" t="str" cm="1">
        <f t="array" ref="E289">_xlfn.XLOOKUP(Table2[[#This Row],[college]]&amp;Table2[[#This Row],[division]]&amp;Table2[[#This Row],[year]],
Teams[college]&amp;Teams[division]&amp;Teams[year],
Teams[placing], "NA")</f>
        <v>DNF</v>
      </c>
      <c r="F289" s="1" t="str" cm="1">
        <f t="array" ref="F289">_xlfn.XLOOKUP(Table2[[#This Row],[college]]&amp;Table2[[#This Row],[division]]&amp;Table2[[#This Row],[year]],
Teams[college]&amp;Teams[division]&amp;Teams[year],
Teams[finish], "NA")</f>
        <v>NA</v>
      </c>
    </row>
    <row r="290" spans="1:6" x14ac:dyDescent="0.3">
      <c r="A290" t="s">
        <v>131</v>
      </c>
      <c r="B290" t="s">
        <v>132</v>
      </c>
      <c r="C290">
        <v>6</v>
      </c>
      <c r="D290">
        <v>2025</v>
      </c>
      <c r="E290" cm="1">
        <f t="array" ref="E290">_xlfn.XLOOKUP(Table2[[#This Row],[college]]&amp;Table2[[#This Row],[division]]&amp;Table2[[#This Row],[year]],
Teams[college]&amp;Teams[division]&amp;Teams[year],
Teams[placing], "NA")</f>
        <v>1</v>
      </c>
      <c r="F290" s="1" cm="1">
        <f t="array" ref="F290">_xlfn.XLOOKUP(Table2[[#This Row],[college]]&amp;Table2[[#This Row],[division]]&amp;Table2[[#This Row],[year]],
Teams[college]&amp;Teams[division]&amp;Teams[year],
Teams[finish], "NA")</f>
        <v>0.48888888888888887</v>
      </c>
    </row>
    <row r="291" spans="1:6" x14ac:dyDescent="0.3">
      <c r="A291" t="s">
        <v>131</v>
      </c>
      <c r="B291" t="s">
        <v>132</v>
      </c>
      <c r="C291">
        <v>1</v>
      </c>
      <c r="D291">
        <v>2024</v>
      </c>
      <c r="E291" cm="1">
        <f t="array" ref="E291">_xlfn.XLOOKUP(Table2[[#This Row],[college]]&amp;Table2[[#This Row],[division]]&amp;Table2[[#This Row],[year]],
Teams[college]&amp;Teams[division]&amp;Teams[year],
Teams[placing], "NA")</f>
        <v>8</v>
      </c>
      <c r="F291" s="1" cm="1">
        <f t="array" ref="F291">_xlfn.XLOOKUP(Table2[[#This Row],[college]]&amp;Table2[[#This Row],[division]]&amp;Table2[[#This Row],[year]],
Teams[college]&amp;Teams[division]&amp;Teams[year],
Teams[finish], "NA")</f>
        <v>0.69374999999999998</v>
      </c>
    </row>
    <row r="292" spans="1:6" x14ac:dyDescent="0.3">
      <c r="A292" t="s">
        <v>131</v>
      </c>
      <c r="B292" t="s">
        <v>132</v>
      </c>
      <c r="C292">
        <v>6</v>
      </c>
      <c r="D292">
        <v>2023</v>
      </c>
      <c r="E292" t="str" cm="1">
        <f t="array" ref="E292">_xlfn.XLOOKUP(Table2[[#This Row],[college]]&amp;Table2[[#This Row],[division]]&amp;Table2[[#This Row],[year]],
Teams[college]&amp;Teams[division]&amp;Teams[year],
Teams[placing], "NA")</f>
        <v>DNF</v>
      </c>
      <c r="F292" s="1" t="str" cm="1">
        <f t="array" ref="F292">_xlfn.XLOOKUP(Table2[[#This Row],[college]]&amp;Table2[[#This Row],[division]]&amp;Table2[[#This Row],[year]],
Teams[college]&amp;Teams[division]&amp;Teams[year],
Teams[finish], "NA")</f>
        <v>NA</v>
      </c>
    </row>
    <row r="293" spans="1:6" x14ac:dyDescent="0.3">
      <c r="A293" t="s">
        <v>675</v>
      </c>
      <c r="B293" t="s">
        <v>15</v>
      </c>
      <c r="C293">
        <v>2</v>
      </c>
      <c r="D293">
        <v>2022</v>
      </c>
      <c r="E293" cm="1">
        <f t="array" ref="E293">_xlfn.XLOOKUP(Table2[[#This Row],[college]]&amp;Table2[[#This Row],[division]]&amp;Table2[[#This Row],[year]],
Teams[college]&amp;Teams[division]&amp;Teams[year],
Teams[placing], "NA")</f>
        <v>2</v>
      </c>
      <c r="F293" s="1" cm="1">
        <f t="array" ref="F293">_xlfn.XLOOKUP(Table2[[#This Row],[college]]&amp;Table2[[#This Row],[division]]&amp;Table2[[#This Row],[year]],
Teams[college]&amp;Teams[division]&amp;Teams[year],
Teams[finish], "NA")</f>
        <v>0.67083333333333328</v>
      </c>
    </row>
    <row r="294" spans="1:6" x14ac:dyDescent="0.3">
      <c r="A294" t="s">
        <v>17</v>
      </c>
      <c r="B294" t="s">
        <v>15</v>
      </c>
      <c r="C294">
        <v>6</v>
      </c>
      <c r="D294">
        <v>2025</v>
      </c>
      <c r="E294" t="str" cm="1">
        <f t="array" ref="E294">_xlfn.XLOOKUP(Table2[[#This Row],[college]]&amp;Table2[[#This Row],[division]]&amp;Table2[[#This Row],[year]],
Teams[college]&amp;Teams[division]&amp;Teams[year],
Teams[placing], "NA")</f>
        <v>DNF</v>
      </c>
      <c r="F294" s="1" t="str" cm="1">
        <f t="array" ref="F294">_xlfn.XLOOKUP(Table2[[#This Row],[college]]&amp;Table2[[#This Row],[division]]&amp;Table2[[#This Row],[year]],
Teams[college]&amp;Teams[division]&amp;Teams[year],
Teams[finish], "NA")</f>
        <v>NA</v>
      </c>
    </row>
    <row r="295" spans="1:6" x14ac:dyDescent="0.3">
      <c r="A295" t="s">
        <v>34</v>
      </c>
      <c r="B295" t="s">
        <v>5</v>
      </c>
      <c r="C295">
        <v>5</v>
      </c>
      <c r="D295">
        <v>2025</v>
      </c>
      <c r="E295" cm="1">
        <f t="array" ref="E295">_xlfn.XLOOKUP(Table2[[#This Row],[college]]&amp;Table2[[#This Row],[division]]&amp;Table2[[#This Row],[year]],
Teams[college]&amp;Teams[division]&amp;Teams[year],
Teams[placing], "NA")</f>
        <v>4</v>
      </c>
      <c r="F295" s="1" cm="1">
        <f t="array" ref="F295">_xlfn.XLOOKUP(Table2[[#This Row],[college]]&amp;Table2[[#This Row],[division]]&amp;Table2[[#This Row],[year]],
Teams[college]&amp;Teams[division]&amp;Teams[year],
Teams[finish], "NA")</f>
        <v>0.47083333333333333</v>
      </c>
    </row>
    <row r="296" spans="1:6" x14ac:dyDescent="0.3">
      <c r="A296" t="s">
        <v>988</v>
      </c>
      <c r="B296" t="s">
        <v>5</v>
      </c>
      <c r="C296">
        <v>3</v>
      </c>
      <c r="D296">
        <v>2026</v>
      </c>
      <c r="E296" cm="1">
        <f t="array" ref="E296">_xlfn.XLOOKUP(Table2[[#This Row],[college]]&amp;Table2[[#This Row],[division]]&amp;Table2[[#This Row],[year]],
Teams[college]&amp;Teams[division]&amp;Teams[year],
Teams[placing], "NA")</f>
        <v>0</v>
      </c>
      <c r="F296" s="1" cm="1">
        <f t="array" ref="F296">_xlfn.XLOOKUP(Table2[[#This Row],[college]]&amp;Table2[[#This Row],[division]]&amp;Table2[[#This Row],[year]],
Teams[college]&amp;Teams[division]&amp;Teams[year],
Teams[finish], "NA")</f>
        <v>0</v>
      </c>
    </row>
    <row r="297" spans="1:6" x14ac:dyDescent="0.3">
      <c r="A297" t="s">
        <v>384</v>
      </c>
      <c r="B297" t="s">
        <v>15</v>
      </c>
      <c r="C297">
        <v>4</v>
      </c>
      <c r="D297">
        <v>2022</v>
      </c>
      <c r="E297" cm="1">
        <f t="array" ref="E297">_xlfn.XLOOKUP(Table2[[#This Row],[college]]&amp;Table2[[#This Row],[division]]&amp;Table2[[#This Row],[year]],
Teams[college]&amp;Teams[division]&amp;Teams[year],
Teams[placing], "NA")</f>
        <v>1</v>
      </c>
      <c r="F297" s="1" cm="1">
        <f t="array" ref="F297">_xlfn.XLOOKUP(Table2[[#This Row],[college]]&amp;Table2[[#This Row],[division]]&amp;Table2[[#This Row],[year]],
Teams[college]&amp;Teams[division]&amp;Teams[year],
Teams[finish], "NA")</f>
        <v>0.4284722222222222</v>
      </c>
    </row>
    <row r="298" spans="1:6" x14ac:dyDescent="0.3">
      <c r="A298" t="s">
        <v>384</v>
      </c>
      <c r="B298" t="s">
        <v>15</v>
      </c>
      <c r="C298">
        <v>2</v>
      </c>
      <c r="D298">
        <v>2024</v>
      </c>
      <c r="E298" cm="1">
        <f t="array" ref="E298">_xlfn.XLOOKUP(Table2[[#This Row],[college]]&amp;Table2[[#This Row],[division]]&amp;Table2[[#This Row],[year]],
Teams[college]&amp;Teams[division]&amp;Teams[year],
Teams[placing], "NA")</f>
        <v>7</v>
      </c>
      <c r="F298" s="1" cm="1">
        <f t="array" ref="F298">_xlfn.XLOOKUP(Table2[[#This Row],[college]]&amp;Table2[[#This Row],[division]]&amp;Table2[[#This Row],[year]],
Teams[college]&amp;Teams[division]&amp;Teams[year],
Teams[finish], "NA")</f>
        <v>0.59583333333333333</v>
      </c>
    </row>
    <row r="299" spans="1:6" x14ac:dyDescent="0.3">
      <c r="A299" t="s">
        <v>384</v>
      </c>
      <c r="B299" t="s">
        <v>15</v>
      </c>
      <c r="C299">
        <v>3</v>
      </c>
      <c r="D299">
        <v>2023</v>
      </c>
      <c r="E299" t="str" cm="1">
        <f t="array" ref="E299">_xlfn.XLOOKUP(Table2[[#This Row],[college]]&amp;Table2[[#This Row],[division]]&amp;Table2[[#This Row],[year]],
Teams[college]&amp;Teams[division]&amp;Teams[year],
Teams[placing], "NA")</f>
        <v>DNF</v>
      </c>
      <c r="F299" s="1" t="str" cm="1">
        <f t="array" ref="F299">_xlfn.XLOOKUP(Table2[[#This Row],[college]]&amp;Table2[[#This Row],[division]]&amp;Table2[[#This Row],[year]],
Teams[college]&amp;Teams[division]&amp;Teams[year],
Teams[finish], "NA")</f>
        <v>NA</v>
      </c>
    </row>
    <row r="300" spans="1:6" x14ac:dyDescent="0.3">
      <c r="A300" t="s">
        <v>740</v>
      </c>
      <c r="B300" t="s">
        <v>754</v>
      </c>
      <c r="C300">
        <v>4</v>
      </c>
      <c r="D300">
        <v>2022</v>
      </c>
      <c r="E300" t="str" cm="1">
        <f t="array" ref="E300">_xlfn.XLOOKUP(Table2[[#This Row],[college]]&amp;Table2[[#This Row],[division]]&amp;Table2[[#This Row],[year]],
Teams[college]&amp;Teams[division]&amp;Teams[year],
Teams[placing], "NA")</f>
        <v>NA</v>
      </c>
      <c r="F300" s="1" cm="1">
        <f t="array" ref="F300">_xlfn.XLOOKUP(Table2[[#This Row],[college]]&amp;Table2[[#This Row],[division]]&amp;Table2[[#This Row],[year]],
Teams[college]&amp;Teams[division]&amp;Teams[year],
Teams[finish], "NA")</f>
        <v>0.53819444444444442</v>
      </c>
    </row>
    <row r="301" spans="1:6" x14ac:dyDescent="0.3">
      <c r="A301" t="s">
        <v>936</v>
      </c>
      <c r="B301" t="s">
        <v>15</v>
      </c>
      <c r="C301">
        <v>6</v>
      </c>
      <c r="D301">
        <v>2026</v>
      </c>
      <c r="E301" cm="1">
        <f t="array" ref="E301">_xlfn.XLOOKUP(Table2[[#This Row],[college]]&amp;Table2[[#This Row],[division]]&amp;Table2[[#This Row],[year]],
Teams[college]&amp;Teams[division]&amp;Teams[year],
Teams[placing], "NA")</f>
        <v>0</v>
      </c>
      <c r="F301" s="1" cm="1">
        <f t="array" ref="F301">_xlfn.XLOOKUP(Table2[[#This Row],[college]]&amp;Table2[[#This Row],[division]]&amp;Table2[[#This Row],[year]],
Teams[college]&amp;Teams[division]&amp;Teams[year],
Teams[finish], "NA")</f>
        <v>0</v>
      </c>
    </row>
    <row r="302" spans="1:6" x14ac:dyDescent="0.3">
      <c r="A302" t="s">
        <v>405</v>
      </c>
      <c r="B302" t="s">
        <v>137</v>
      </c>
      <c r="C302">
        <v>5</v>
      </c>
      <c r="D302">
        <v>2024</v>
      </c>
      <c r="E302" cm="1">
        <f t="array" ref="E302">_xlfn.XLOOKUP(Table2[[#This Row],[college]]&amp;Table2[[#This Row],[division]]&amp;Table2[[#This Row],[year]],
Teams[college]&amp;Teams[division]&amp;Teams[year],
Teams[placing], "NA")</f>
        <v>3</v>
      </c>
      <c r="F302" s="1" cm="1">
        <f t="array" ref="F302">_xlfn.XLOOKUP(Table2[[#This Row],[college]]&amp;Table2[[#This Row],[division]]&amp;Table2[[#This Row],[year]],
Teams[college]&amp;Teams[division]&amp;Teams[year],
Teams[finish], "NA")</f>
        <v>0.59444444444444444</v>
      </c>
    </row>
    <row r="303" spans="1:6" x14ac:dyDescent="0.3">
      <c r="A303" t="s">
        <v>405</v>
      </c>
      <c r="B303" t="s">
        <v>137</v>
      </c>
      <c r="C303">
        <v>5</v>
      </c>
      <c r="D303">
        <v>2023</v>
      </c>
      <c r="E303" cm="1">
        <f t="array" ref="E303">_xlfn.XLOOKUP(Table2[[#This Row],[college]]&amp;Table2[[#This Row],[division]]&amp;Table2[[#This Row],[year]],
Teams[college]&amp;Teams[division]&amp;Teams[year],
Teams[placing], "NA")</f>
        <v>6</v>
      </c>
      <c r="F303" s="1" cm="1">
        <f t="array" ref="F303">_xlfn.XLOOKUP(Table2[[#This Row],[college]]&amp;Table2[[#This Row],[division]]&amp;Table2[[#This Row],[year]],
Teams[college]&amp;Teams[division]&amp;Teams[year],
Teams[finish], "NA")</f>
        <v>0.66666666666666663</v>
      </c>
    </row>
    <row r="304" spans="1:6" x14ac:dyDescent="0.3">
      <c r="A304" t="s">
        <v>67</v>
      </c>
      <c r="B304" t="s">
        <v>757</v>
      </c>
      <c r="C304">
        <v>6</v>
      </c>
      <c r="D304">
        <v>2025</v>
      </c>
      <c r="E304" t="str" cm="1">
        <f t="array" ref="E304">_xlfn.XLOOKUP(Table2[[#This Row],[college]]&amp;Table2[[#This Row],[division]]&amp;Table2[[#This Row],[year]],
Teams[college]&amp;Teams[division]&amp;Teams[year],
Teams[placing], "NA")</f>
        <v>NA</v>
      </c>
      <c r="F304" s="1" cm="1">
        <f t="array" ref="F304">_xlfn.XLOOKUP(Table2[[#This Row],[college]]&amp;Table2[[#This Row],[division]]&amp;Table2[[#This Row],[year]],
Teams[college]&amp;Teams[division]&amp;Teams[year],
Teams[finish], "NA")</f>
        <v>0.64097222222222228</v>
      </c>
    </row>
    <row r="305" spans="1:6" x14ac:dyDescent="0.3">
      <c r="A305" t="s">
        <v>523</v>
      </c>
      <c r="B305" t="s">
        <v>5</v>
      </c>
      <c r="C305">
        <v>7</v>
      </c>
      <c r="D305">
        <v>2023</v>
      </c>
      <c r="E305" cm="1">
        <f t="array" ref="E305">_xlfn.XLOOKUP(Table2[[#This Row],[college]]&amp;Table2[[#This Row],[division]]&amp;Table2[[#This Row],[year]],
Teams[college]&amp;Teams[division]&amp;Teams[year],
Teams[placing], "NA")</f>
        <v>7</v>
      </c>
      <c r="F305" s="1" cm="1">
        <f t="array" ref="F305">_xlfn.XLOOKUP(Table2[[#This Row],[college]]&amp;Table2[[#This Row],[division]]&amp;Table2[[#This Row],[year]],
Teams[college]&amp;Teams[division]&amp;Teams[year],
Teams[finish], "NA")</f>
        <v>0.59097222222222223</v>
      </c>
    </row>
    <row r="306" spans="1:6" x14ac:dyDescent="0.3">
      <c r="A306" t="s">
        <v>523</v>
      </c>
      <c r="B306" t="s">
        <v>5</v>
      </c>
      <c r="C306">
        <v>5</v>
      </c>
      <c r="D306">
        <v>2022</v>
      </c>
      <c r="E306" cm="1">
        <f t="array" ref="E306">_xlfn.XLOOKUP(Table2[[#This Row],[college]]&amp;Table2[[#This Row],[division]]&amp;Table2[[#This Row],[year]],
Teams[college]&amp;Teams[division]&amp;Teams[year],
Teams[placing], "NA")</f>
        <v>6</v>
      </c>
      <c r="F306" s="1" cm="1">
        <f t="array" ref="F306">_xlfn.XLOOKUP(Table2[[#This Row],[college]]&amp;Table2[[#This Row],[division]]&amp;Table2[[#This Row],[year]],
Teams[college]&amp;Teams[division]&amp;Teams[year],
Teams[finish], "NA")</f>
        <v>0.62152777777777779</v>
      </c>
    </row>
    <row r="307" spans="1:6" x14ac:dyDescent="0.3">
      <c r="A307" t="s">
        <v>469</v>
      </c>
      <c r="B307" t="s">
        <v>19</v>
      </c>
      <c r="C307">
        <v>3</v>
      </c>
      <c r="D307">
        <v>2024</v>
      </c>
      <c r="E307" cm="1">
        <f t="array" ref="E307">_xlfn.XLOOKUP(Table2[[#This Row],[college]]&amp;Table2[[#This Row],[division]]&amp;Table2[[#This Row],[year]],
Teams[college]&amp;Teams[division]&amp;Teams[year],
Teams[placing], "NA")</f>
        <v>5</v>
      </c>
      <c r="F307" s="1" cm="1">
        <f t="array" ref="F307">_xlfn.XLOOKUP(Table2[[#This Row],[college]]&amp;Table2[[#This Row],[division]]&amp;Table2[[#This Row],[year]],
Teams[college]&amp;Teams[division]&amp;Teams[year],
Teams[finish], "NA")</f>
        <v>0.70138888888888884</v>
      </c>
    </row>
    <row r="308" spans="1:6" x14ac:dyDescent="0.3">
      <c r="A308" t="s">
        <v>110</v>
      </c>
      <c r="B308" t="s">
        <v>48</v>
      </c>
      <c r="C308">
        <v>7</v>
      </c>
      <c r="D308">
        <v>2025</v>
      </c>
      <c r="E308" cm="1">
        <f t="array" ref="E308">_xlfn.XLOOKUP(Table2[[#This Row],[college]]&amp;Table2[[#This Row],[division]]&amp;Table2[[#This Row],[year]],
Teams[college]&amp;Teams[division]&amp;Teams[year],
Teams[placing], "NA")</f>
        <v>9</v>
      </c>
      <c r="F308" s="1" cm="1">
        <f t="array" ref="F308">_xlfn.XLOOKUP(Table2[[#This Row],[college]]&amp;Table2[[#This Row],[division]]&amp;Table2[[#This Row],[year]],
Teams[college]&amp;Teams[division]&amp;Teams[year],
Teams[finish], "NA")</f>
        <v>0.6118055555555556</v>
      </c>
    </row>
    <row r="309" spans="1:6" x14ac:dyDescent="0.3">
      <c r="A309" t="s">
        <v>621</v>
      </c>
      <c r="B309" t="s">
        <v>19</v>
      </c>
      <c r="C309">
        <v>1</v>
      </c>
      <c r="D309">
        <v>2023</v>
      </c>
      <c r="E309" t="str" cm="1">
        <f t="array" ref="E309">_xlfn.XLOOKUP(Table2[[#This Row],[college]]&amp;Table2[[#This Row],[division]]&amp;Table2[[#This Row],[year]],
Teams[college]&amp;Teams[division]&amp;Teams[year],
Teams[placing], "NA")</f>
        <v>DNF</v>
      </c>
      <c r="F309" s="1" t="str" cm="1">
        <f t="array" ref="F309">_xlfn.XLOOKUP(Table2[[#This Row],[college]]&amp;Table2[[#This Row],[division]]&amp;Table2[[#This Row],[year]],
Teams[college]&amp;Teams[division]&amp;Teams[year],
Teams[finish], "NA")</f>
        <v>NA</v>
      </c>
    </row>
    <row r="310" spans="1:6" x14ac:dyDescent="0.3">
      <c r="A310" t="s">
        <v>621</v>
      </c>
      <c r="B310" t="s">
        <v>19</v>
      </c>
      <c r="C310">
        <v>1</v>
      </c>
      <c r="D310">
        <v>2022</v>
      </c>
      <c r="E310" t="str" cm="1">
        <f t="array" ref="E310">_xlfn.XLOOKUP(Table2[[#This Row],[college]]&amp;Table2[[#This Row],[division]]&amp;Table2[[#This Row],[year]],
Teams[college]&amp;Teams[division]&amp;Teams[year],
Teams[placing], "NA")</f>
        <v>DNF</v>
      </c>
      <c r="F310" s="1" t="str" cm="1">
        <f t="array" ref="F310">_xlfn.XLOOKUP(Table2[[#This Row],[college]]&amp;Table2[[#This Row],[division]]&amp;Table2[[#This Row],[year]],
Teams[college]&amp;Teams[division]&amp;Teams[year],
Teams[finish], "NA")</f>
        <v>NA</v>
      </c>
    </row>
    <row r="311" spans="1:6" x14ac:dyDescent="0.3">
      <c r="A311" t="s">
        <v>884</v>
      </c>
      <c r="B311" t="s">
        <v>766</v>
      </c>
      <c r="C311">
        <v>5</v>
      </c>
      <c r="D311">
        <v>2026</v>
      </c>
      <c r="E311" cm="1">
        <f t="array" ref="E311">_xlfn.XLOOKUP(Table2[[#This Row],[college]]&amp;Table2[[#This Row],[division]]&amp;Table2[[#This Row],[year]],
Teams[college]&amp;Teams[division]&amp;Teams[year],
Teams[placing], "NA")</f>
        <v>0</v>
      </c>
      <c r="F311" s="1" cm="1">
        <f t="array" ref="F311">_xlfn.XLOOKUP(Table2[[#This Row],[college]]&amp;Table2[[#This Row],[division]]&amp;Table2[[#This Row],[year]],
Teams[college]&amp;Teams[division]&amp;Teams[year],
Teams[finish], "NA")</f>
        <v>0</v>
      </c>
    </row>
    <row r="312" spans="1:6" x14ac:dyDescent="0.3">
      <c r="A312" t="s">
        <v>85</v>
      </c>
      <c r="B312" t="s">
        <v>755</v>
      </c>
      <c r="C312">
        <v>5</v>
      </c>
      <c r="D312">
        <v>2025</v>
      </c>
      <c r="E312" t="str" cm="1">
        <f t="array" ref="E312">_xlfn.XLOOKUP(Table2[[#This Row],[college]]&amp;Table2[[#This Row],[division]]&amp;Table2[[#This Row],[year]],
Teams[college]&amp;Teams[division]&amp;Teams[year],
Teams[placing], "NA")</f>
        <v>NA</v>
      </c>
      <c r="F312" s="1" cm="1">
        <f t="array" ref="F312">_xlfn.XLOOKUP(Table2[[#This Row],[college]]&amp;Table2[[#This Row],[division]]&amp;Table2[[#This Row],[year]],
Teams[college]&amp;Teams[division]&amp;Teams[year],
Teams[finish], "NA")</f>
        <v>0.50208333333333333</v>
      </c>
    </row>
    <row r="313" spans="1:6" x14ac:dyDescent="0.3">
      <c r="A313" t="s">
        <v>400</v>
      </c>
      <c r="B313" t="s">
        <v>250</v>
      </c>
      <c r="C313">
        <v>3</v>
      </c>
      <c r="D313">
        <v>2024</v>
      </c>
      <c r="E313" cm="1">
        <f t="array" ref="E313">_xlfn.XLOOKUP(Table2[[#This Row],[college]]&amp;Table2[[#This Row],[division]]&amp;Table2[[#This Row],[year]],
Teams[college]&amp;Teams[division]&amp;Teams[year],
Teams[placing], "NA")</f>
        <v>1</v>
      </c>
      <c r="F313" s="1" cm="1">
        <f t="array" ref="F313">_xlfn.XLOOKUP(Table2[[#This Row],[college]]&amp;Table2[[#This Row],[division]]&amp;Table2[[#This Row],[year]],
Teams[college]&amp;Teams[division]&amp;Teams[year],
Teams[finish], "NA")</f>
        <v>0.55833333333333335</v>
      </c>
    </row>
    <row r="314" spans="1:6" x14ac:dyDescent="0.3">
      <c r="A314" t="s">
        <v>400</v>
      </c>
      <c r="B314" t="s">
        <v>15</v>
      </c>
      <c r="C314">
        <v>4</v>
      </c>
      <c r="D314">
        <v>2023</v>
      </c>
      <c r="E314" cm="1">
        <f t="array" ref="E314">_xlfn.XLOOKUP(Table2[[#This Row],[college]]&amp;Table2[[#This Row],[division]]&amp;Table2[[#This Row],[year]],
Teams[college]&amp;Teams[division]&amp;Teams[year],
Teams[placing], "NA")</f>
        <v>5</v>
      </c>
      <c r="F314" s="1" cm="1">
        <f t="array" ref="F314">_xlfn.XLOOKUP(Table2[[#This Row],[college]]&amp;Table2[[#This Row],[division]]&amp;Table2[[#This Row],[year]],
Teams[college]&amp;Teams[division]&amp;Teams[year],
Teams[finish], "NA")</f>
        <v>0.63680555555555551</v>
      </c>
    </row>
    <row r="315" spans="1:6" x14ac:dyDescent="0.3">
      <c r="A315" t="s">
        <v>400</v>
      </c>
      <c r="B315" t="s">
        <v>15</v>
      </c>
      <c r="C315">
        <v>4</v>
      </c>
      <c r="D315">
        <v>2024</v>
      </c>
      <c r="E315" cm="1">
        <f t="array" ref="E315">_xlfn.XLOOKUP(Table2[[#This Row],[college]]&amp;Table2[[#This Row],[division]]&amp;Table2[[#This Row],[year]],
Teams[college]&amp;Teams[division]&amp;Teams[year],
Teams[placing], "NA")</f>
        <v>7</v>
      </c>
      <c r="F315" s="1" cm="1">
        <f t="array" ref="F315">_xlfn.XLOOKUP(Table2[[#This Row],[college]]&amp;Table2[[#This Row],[division]]&amp;Table2[[#This Row],[year]],
Teams[college]&amp;Teams[division]&amp;Teams[year],
Teams[finish], "NA")</f>
        <v>0.69097222222222221</v>
      </c>
    </row>
    <row r="316" spans="1:6" x14ac:dyDescent="0.3">
      <c r="A316" t="s">
        <v>98</v>
      </c>
      <c r="B316" t="s">
        <v>760</v>
      </c>
      <c r="C316">
        <v>6</v>
      </c>
      <c r="D316">
        <v>2025</v>
      </c>
      <c r="E316" t="str" cm="1">
        <f t="array" ref="E316">_xlfn.XLOOKUP(Table2[[#This Row],[college]]&amp;Table2[[#This Row],[division]]&amp;Table2[[#This Row],[year]],
Teams[college]&amp;Teams[division]&amp;Teams[year],
Teams[placing], "NA")</f>
        <v>NA</v>
      </c>
      <c r="F316" s="1" cm="1">
        <f t="array" ref="F316">_xlfn.XLOOKUP(Table2[[#This Row],[college]]&amp;Table2[[#This Row],[division]]&amp;Table2[[#This Row],[year]],
Teams[college]&amp;Teams[division]&amp;Teams[year],
Teams[finish], "NA")</f>
        <v>0.7055555555555556</v>
      </c>
    </row>
    <row r="317" spans="1:6" x14ac:dyDescent="0.3">
      <c r="A317" t="s">
        <v>374</v>
      </c>
      <c r="B317" t="s">
        <v>123</v>
      </c>
      <c r="C317">
        <v>2</v>
      </c>
      <c r="D317">
        <v>2022</v>
      </c>
      <c r="E317" cm="1">
        <f t="array" ref="E317">_xlfn.XLOOKUP(Table2[[#This Row],[college]]&amp;Table2[[#This Row],[division]]&amp;Table2[[#This Row],[year]],
Teams[college]&amp;Teams[division]&amp;Teams[year],
Teams[placing], "NA")</f>
        <v>1</v>
      </c>
      <c r="F317" s="1" cm="1">
        <f t="array" ref="F317">_xlfn.XLOOKUP(Table2[[#This Row],[college]]&amp;Table2[[#This Row],[division]]&amp;Table2[[#This Row],[year]],
Teams[college]&amp;Teams[division]&amp;Teams[year],
Teams[finish], "NA")</f>
        <v>0.48888888888888887</v>
      </c>
    </row>
    <row r="318" spans="1:6" x14ac:dyDescent="0.3">
      <c r="A318" t="s">
        <v>374</v>
      </c>
      <c r="B318" t="s">
        <v>137</v>
      </c>
      <c r="C318">
        <v>2</v>
      </c>
      <c r="D318">
        <v>2023</v>
      </c>
      <c r="E318" cm="1">
        <f t="array" ref="E318">_xlfn.XLOOKUP(Table2[[#This Row],[college]]&amp;Table2[[#This Row],[division]]&amp;Table2[[#This Row],[year]],
Teams[college]&amp;Teams[division]&amp;Teams[year],
Teams[placing], "NA")</f>
        <v>5</v>
      </c>
      <c r="F318" s="1" cm="1">
        <f t="array" ref="F318">_xlfn.XLOOKUP(Table2[[#This Row],[college]]&amp;Table2[[#This Row],[division]]&amp;Table2[[#This Row],[year]],
Teams[college]&amp;Teams[division]&amp;Teams[year],
Teams[finish], "NA")</f>
        <v>0.59722222222222221</v>
      </c>
    </row>
    <row r="319" spans="1:6" x14ac:dyDescent="0.3">
      <c r="A319" t="s">
        <v>374</v>
      </c>
      <c r="B319" t="s">
        <v>137</v>
      </c>
      <c r="C319">
        <v>4</v>
      </c>
      <c r="D319">
        <v>2024</v>
      </c>
      <c r="E319" cm="1">
        <f t="array" ref="E319">_xlfn.XLOOKUP(Table2[[#This Row],[college]]&amp;Table2[[#This Row],[division]]&amp;Table2[[#This Row],[year]],
Teams[college]&amp;Teams[division]&amp;Teams[year],
Teams[placing], "NA")</f>
        <v>3</v>
      </c>
      <c r="F319" s="1" cm="1">
        <f t="array" ref="F319">_xlfn.XLOOKUP(Table2[[#This Row],[college]]&amp;Table2[[#This Row],[division]]&amp;Table2[[#This Row],[year]],
Teams[college]&amp;Teams[division]&amp;Teams[year],
Teams[finish], "NA")</f>
        <v>0.64722222222222225</v>
      </c>
    </row>
    <row r="320" spans="1:6" x14ac:dyDescent="0.3">
      <c r="A320" t="s">
        <v>336</v>
      </c>
      <c r="B320" t="s">
        <v>756</v>
      </c>
      <c r="C320">
        <v>5</v>
      </c>
      <c r="D320">
        <v>2024</v>
      </c>
      <c r="E320" t="str" cm="1">
        <f t="array" ref="E320">_xlfn.XLOOKUP(Table2[[#This Row],[college]]&amp;Table2[[#This Row],[division]]&amp;Table2[[#This Row],[year]],
Teams[college]&amp;Teams[division]&amp;Teams[year],
Teams[placing], "NA")</f>
        <v>NA</v>
      </c>
      <c r="F320" s="1" cm="1">
        <f t="array" ref="F320">_xlfn.XLOOKUP(Table2[[#This Row],[college]]&amp;Table2[[#This Row],[division]]&amp;Table2[[#This Row],[year]],
Teams[college]&amp;Teams[division]&amp;Teams[year],
Teams[finish], "NA")</f>
        <v>0.62361111111111112</v>
      </c>
    </row>
    <row r="321" spans="1:6" x14ac:dyDescent="0.3">
      <c r="A321" t="s">
        <v>77</v>
      </c>
      <c r="B321" t="s">
        <v>10</v>
      </c>
      <c r="C321">
        <v>4</v>
      </c>
      <c r="D321">
        <v>2024</v>
      </c>
      <c r="E321" cm="1">
        <f t="array" ref="E321">_xlfn.XLOOKUP(Table2[[#This Row],[college]]&amp;Table2[[#This Row],[division]]&amp;Table2[[#This Row],[year]],
Teams[college]&amp;Teams[division]&amp;Teams[year],
Teams[placing], "NA")</f>
        <v>6</v>
      </c>
      <c r="F321" s="1" cm="1">
        <f t="array" ref="F321">_xlfn.XLOOKUP(Table2[[#This Row],[college]]&amp;Table2[[#This Row],[division]]&amp;Table2[[#This Row],[year]],
Teams[college]&amp;Teams[division]&amp;Teams[year],
Teams[finish], "NA")</f>
        <v>0.67291666666666672</v>
      </c>
    </row>
    <row r="322" spans="1:6" x14ac:dyDescent="0.3">
      <c r="A322" t="s">
        <v>77</v>
      </c>
      <c r="B322" t="s">
        <v>10</v>
      </c>
      <c r="C322">
        <v>3</v>
      </c>
      <c r="D322">
        <v>2025</v>
      </c>
      <c r="E322" t="str" cm="1">
        <f t="array" ref="E322">_xlfn.XLOOKUP(Table2[[#This Row],[college]]&amp;Table2[[#This Row],[division]]&amp;Table2[[#This Row],[year]],
Teams[college]&amp;Teams[division]&amp;Teams[year],
Teams[placing], "NA")</f>
        <v>DNF</v>
      </c>
      <c r="F322" s="1" t="str" cm="1">
        <f t="array" ref="F322">_xlfn.XLOOKUP(Table2[[#This Row],[college]]&amp;Table2[[#This Row],[division]]&amp;Table2[[#This Row],[year]],
Teams[college]&amp;Teams[division]&amp;Teams[year],
Teams[finish], "NA")</f>
        <v>NA</v>
      </c>
    </row>
    <row r="323" spans="1:6" x14ac:dyDescent="0.3">
      <c r="A323" t="s">
        <v>849</v>
      </c>
      <c r="B323" t="s">
        <v>787</v>
      </c>
      <c r="C323">
        <v>4</v>
      </c>
      <c r="D323">
        <v>2026</v>
      </c>
      <c r="E323" t="str" cm="1">
        <f t="array" ref="E323">_xlfn.XLOOKUP(Table2[[#This Row],[college]]&amp;Table2[[#This Row],[division]]&amp;Table2[[#This Row],[year]],
Teams[college]&amp;Teams[division]&amp;Teams[year],
Teams[placing], "NA")</f>
        <v>NA</v>
      </c>
      <c r="F323" s="1" t="str" cm="1">
        <f t="array" ref="F323">_xlfn.XLOOKUP(Table2[[#This Row],[college]]&amp;Table2[[#This Row],[division]]&amp;Table2[[#This Row],[year]],
Teams[college]&amp;Teams[division]&amp;Teams[year],
Teams[finish], "NA")</f>
        <v>NA</v>
      </c>
    </row>
    <row r="324" spans="1:6" x14ac:dyDescent="0.3">
      <c r="A324" t="s">
        <v>148</v>
      </c>
      <c r="B324" t="s">
        <v>132</v>
      </c>
      <c r="C324">
        <v>2</v>
      </c>
      <c r="D324">
        <v>2025</v>
      </c>
      <c r="E324" cm="1">
        <f t="array" ref="E324">_xlfn.XLOOKUP(Table2[[#This Row],[college]]&amp;Table2[[#This Row],[division]]&amp;Table2[[#This Row],[year]],
Teams[college]&amp;Teams[division]&amp;Teams[year],
Teams[placing], "NA")</f>
        <v>2</v>
      </c>
      <c r="F324" s="1" cm="1">
        <f t="array" ref="F324">_xlfn.XLOOKUP(Table2[[#This Row],[college]]&amp;Table2[[#This Row],[division]]&amp;Table2[[#This Row],[year]],
Teams[college]&amp;Teams[division]&amp;Teams[year],
Teams[finish], "NA")</f>
        <v>0.53541666666666665</v>
      </c>
    </row>
    <row r="325" spans="1:6" x14ac:dyDescent="0.3">
      <c r="A325" t="s">
        <v>148</v>
      </c>
      <c r="B325" t="s">
        <v>132</v>
      </c>
      <c r="C325">
        <v>1</v>
      </c>
      <c r="D325">
        <v>2024</v>
      </c>
      <c r="E325" cm="1">
        <f t="array" ref="E325">_xlfn.XLOOKUP(Table2[[#This Row],[college]]&amp;Table2[[#This Row],[division]]&amp;Table2[[#This Row],[year]],
Teams[college]&amp;Teams[division]&amp;Teams[year],
Teams[placing], "NA")</f>
        <v>8</v>
      </c>
      <c r="F325" s="1" cm="1">
        <f t="array" ref="F325">_xlfn.XLOOKUP(Table2[[#This Row],[college]]&amp;Table2[[#This Row],[division]]&amp;Table2[[#This Row],[year]],
Teams[college]&amp;Teams[division]&amp;Teams[year],
Teams[finish], "NA")</f>
        <v>0.69374999999999998</v>
      </c>
    </row>
    <row r="326" spans="1:6" x14ac:dyDescent="0.3">
      <c r="A326" t="s">
        <v>148</v>
      </c>
      <c r="B326" t="s">
        <v>132</v>
      </c>
      <c r="C326">
        <v>3</v>
      </c>
      <c r="D326">
        <v>2023</v>
      </c>
      <c r="E326" t="str" cm="1">
        <f t="array" ref="E326">_xlfn.XLOOKUP(Table2[[#This Row],[college]]&amp;Table2[[#This Row],[division]]&amp;Table2[[#This Row],[year]],
Teams[college]&amp;Teams[division]&amp;Teams[year],
Teams[placing], "NA")</f>
        <v>DNF</v>
      </c>
      <c r="F326" s="1" t="str" cm="1">
        <f t="array" ref="F326">_xlfn.XLOOKUP(Table2[[#This Row],[college]]&amp;Table2[[#This Row],[division]]&amp;Table2[[#This Row],[year]],
Teams[college]&amp;Teams[division]&amp;Teams[year],
Teams[finish], "NA")</f>
        <v>NA</v>
      </c>
    </row>
    <row r="327" spans="1:6" x14ac:dyDescent="0.3">
      <c r="A327" t="s">
        <v>866</v>
      </c>
      <c r="B327" t="s">
        <v>787</v>
      </c>
      <c r="C327">
        <v>4</v>
      </c>
      <c r="D327">
        <v>2026</v>
      </c>
      <c r="E327" t="str" cm="1">
        <f t="array" ref="E327">_xlfn.XLOOKUP(Table2[[#This Row],[college]]&amp;Table2[[#This Row],[division]]&amp;Table2[[#This Row],[year]],
Teams[college]&amp;Teams[division]&amp;Teams[year],
Teams[placing], "NA")</f>
        <v>NA</v>
      </c>
      <c r="F327" s="1" t="str" cm="1">
        <f t="array" ref="F327">_xlfn.XLOOKUP(Table2[[#This Row],[college]]&amp;Table2[[#This Row],[division]]&amp;Table2[[#This Row],[year]],
Teams[college]&amp;Teams[division]&amp;Teams[year],
Teams[finish], "NA")</f>
        <v>NA</v>
      </c>
    </row>
    <row r="328" spans="1:6" x14ac:dyDescent="0.3">
      <c r="A328" t="s">
        <v>532</v>
      </c>
      <c r="B328" t="s">
        <v>5</v>
      </c>
      <c r="C328">
        <v>4</v>
      </c>
      <c r="D328">
        <v>2023</v>
      </c>
      <c r="E328" cm="1">
        <f t="array" ref="E328">_xlfn.XLOOKUP(Table2[[#This Row],[college]]&amp;Table2[[#This Row],[division]]&amp;Table2[[#This Row],[year]],
Teams[college]&amp;Teams[division]&amp;Teams[year],
Teams[placing], "NA")</f>
        <v>4</v>
      </c>
      <c r="F328" s="1" cm="1">
        <f t="array" ref="F328">_xlfn.XLOOKUP(Table2[[#This Row],[college]]&amp;Table2[[#This Row],[division]]&amp;Table2[[#This Row],[year]],
Teams[college]&amp;Teams[division]&amp;Teams[year],
Teams[finish], "NA")</f>
        <v>0.57708333333333328</v>
      </c>
    </row>
    <row r="329" spans="1:6" x14ac:dyDescent="0.3">
      <c r="A329" t="s">
        <v>475</v>
      </c>
      <c r="B329" t="s">
        <v>266</v>
      </c>
      <c r="C329">
        <v>3</v>
      </c>
      <c r="D329">
        <v>2024</v>
      </c>
      <c r="E329" t="str" cm="1">
        <f t="array" ref="E329">_xlfn.XLOOKUP(Table2[[#This Row],[college]]&amp;Table2[[#This Row],[division]]&amp;Table2[[#This Row],[year]],
Teams[college]&amp;Teams[division]&amp;Teams[year],
Teams[placing], "NA")</f>
        <v>DNF</v>
      </c>
      <c r="F329" s="1" t="str" cm="1">
        <f t="array" ref="F329">_xlfn.XLOOKUP(Table2[[#This Row],[college]]&amp;Table2[[#This Row],[division]]&amp;Table2[[#This Row],[year]],
Teams[college]&amp;Teams[division]&amp;Teams[year],
Teams[finish], "NA")</f>
        <v>NA</v>
      </c>
    </row>
    <row r="330" spans="1:6" x14ac:dyDescent="0.3">
      <c r="A330" t="s">
        <v>485</v>
      </c>
      <c r="B330" t="s">
        <v>10</v>
      </c>
      <c r="C330">
        <v>4</v>
      </c>
      <c r="D330">
        <v>2024</v>
      </c>
      <c r="E330" cm="1">
        <f t="array" ref="E330">_xlfn.XLOOKUP(Table2[[#This Row],[college]]&amp;Table2[[#This Row],[division]]&amp;Table2[[#This Row],[year]],
Teams[college]&amp;Teams[division]&amp;Teams[year],
Teams[placing], "NA")</f>
        <v>6</v>
      </c>
      <c r="F330" s="1" cm="1">
        <f t="array" ref="F330">_xlfn.XLOOKUP(Table2[[#This Row],[college]]&amp;Table2[[#This Row],[division]]&amp;Table2[[#This Row],[year]],
Teams[college]&amp;Teams[division]&amp;Teams[year],
Teams[finish], "NA")</f>
        <v>0.67291666666666672</v>
      </c>
    </row>
    <row r="331" spans="1:6" x14ac:dyDescent="0.3">
      <c r="A331" t="s">
        <v>997</v>
      </c>
      <c r="B331" t="s">
        <v>5</v>
      </c>
      <c r="C331">
        <v>7</v>
      </c>
      <c r="D331">
        <v>2026</v>
      </c>
      <c r="E331" cm="1">
        <f t="array" ref="E331">_xlfn.XLOOKUP(Table2[[#This Row],[college]]&amp;Table2[[#This Row],[division]]&amp;Table2[[#This Row],[year]],
Teams[college]&amp;Teams[division]&amp;Teams[year],
Teams[placing], "NA")</f>
        <v>0</v>
      </c>
      <c r="F331" s="1" cm="1">
        <f t="array" ref="F331">_xlfn.XLOOKUP(Table2[[#This Row],[college]]&amp;Table2[[#This Row],[division]]&amp;Table2[[#This Row],[year]],
Teams[college]&amp;Teams[division]&amp;Teams[year],
Teams[finish], "NA")</f>
        <v>0</v>
      </c>
    </row>
    <row r="332" spans="1:6" x14ac:dyDescent="0.3">
      <c r="A332" t="s">
        <v>1003</v>
      </c>
      <c r="B332" t="s">
        <v>15</v>
      </c>
      <c r="C332">
        <v>5</v>
      </c>
      <c r="D332">
        <v>2026</v>
      </c>
      <c r="E332" cm="1">
        <f t="array" ref="E332">_xlfn.XLOOKUP(Table2[[#This Row],[college]]&amp;Table2[[#This Row],[division]]&amp;Table2[[#This Row],[year]],
Teams[college]&amp;Teams[division]&amp;Teams[year],
Teams[placing], "NA")</f>
        <v>0</v>
      </c>
      <c r="F332" s="1" cm="1">
        <f t="array" ref="F332">_xlfn.XLOOKUP(Table2[[#This Row],[college]]&amp;Table2[[#This Row],[division]]&amp;Table2[[#This Row],[year]],
Teams[college]&amp;Teams[division]&amp;Teams[year],
Teams[finish], "NA")</f>
        <v>0</v>
      </c>
    </row>
    <row r="333" spans="1:6" x14ac:dyDescent="0.3">
      <c r="A333" t="s">
        <v>706</v>
      </c>
      <c r="B333" t="s">
        <v>48</v>
      </c>
      <c r="C333">
        <v>6</v>
      </c>
      <c r="D333">
        <v>2022</v>
      </c>
      <c r="E333" cm="1">
        <f t="array" ref="E333">_xlfn.XLOOKUP(Table2[[#This Row],[college]]&amp;Table2[[#This Row],[division]]&amp;Table2[[#This Row],[year]],
Teams[college]&amp;Teams[division]&amp;Teams[year],
Teams[placing], "NA")</f>
        <v>7</v>
      </c>
      <c r="F333" s="1" cm="1">
        <f t="array" ref="F333">_xlfn.XLOOKUP(Table2[[#This Row],[college]]&amp;Table2[[#This Row],[division]]&amp;Table2[[#This Row],[year]],
Teams[college]&amp;Teams[division]&amp;Teams[year],
Teams[finish], "NA")</f>
        <v>0.64305555555555549</v>
      </c>
    </row>
    <row r="334" spans="1:6" x14ac:dyDescent="0.3">
      <c r="A334" t="s">
        <v>1004</v>
      </c>
      <c r="B334" t="s">
        <v>250</v>
      </c>
      <c r="C334">
        <v>2</v>
      </c>
      <c r="D334">
        <v>2023</v>
      </c>
      <c r="E334" t="str" cm="1">
        <f t="array" ref="E334">_xlfn.XLOOKUP(Table2[[#This Row],[college]]&amp;Table2[[#This Row],[division]]&amp;Table2[[#This Row],[year]],
Teams[college]&amp;Teams[division]&amp;Teams[year],
Teams[placing], "NA")</f>
        <v>DNF</v>
      </c>
      <c r="F334" s="1" t="str" cm="1">
        <f t="array" ref="F334">_xlfn.XLOOKUP(Table2[[#This Row],[college]]&amp;Table2[[#This Row],[division]]&amp;Table2[[#This Row],[year]],
Teams[college]&amp;Teams[division]&amp;Teams[year],
Teams[finish], "NA")</f>
        <v>NA</v>
      </c>
    </row>
    <row r="335" spans="1:6" x14ac:dyDescent="0.3">
      <c r="A335" t="s">
        <v>927</v>
      </c>
      <c r="B335" t="s">
        <v>15</v>
      </c>
      <c r="C335">
        <v>6</v>
      </c>
      <c r="D335">
        <v>2026</v>
      </c>
      <c r="E335" cm="1">
        <f t="array" ref="E335">_xlfn.XLOOKUP(Table2[[#This Row],[college]]&amp;Table2[[#This Row],[division]]&amp;Table2[[#This Row],[year]],
Teams[college]&amp;Teams[division]&amp;Teams[year],
Teams[placing], "NA")</f>
        <v>0</v>
      </c>
      <c r="F335" s="1" cm="1">
        <f t="array" ref="F335">_xlfn.XLOOKUP(Table2[[#This Row],[college]]&amp;Table2[[#This Row],[division]]&amp;Table2[[#This Row],[year]],
Teams[college]&amp;Teams[division]&amp;Teams[year],
Teams[finish], "NA")</f>
        <v>0</v>
      </c>
    </row>
    <row r="336" spans="1:6" x14ac:dyDescent="0.3">
      <c r="A336" t="s">
        <v>248</v>
      </c>
      <c r="B336" t="s">
        <v>10</v>
      </c>
      <c r="C336">
        <v>4</v>
      </c>
      <c r="D336">
        <v>2025</v>
      </c>
      <c r="E336" t="str" cm="1">
        <f t="array" ref="E336">_xlfn.XLOOKUP(Table2[[#This Row],[college]]&amp;Table2[[#This Row],[division]]&amp;Table2[[#This Row],[year]],
Teams[college]&amp;Teams[division]&amp;Teams[year],
Teams[placing], "NA")</f>
        <v>DNF</v>
      </c>
      <c r="F336" s="1" t="str" cm="1">
        <f t="array" ref="F336">_xlfn.XLOOKUP(Table2[[#This Row],[college]]&amp;Table2[[#This Row],[division]]&amp;Table2[[#This Row],[year]],
Teams[college]&amp;Teams[division]&amp;Teams[year],
Teams[finish], "NA")</f>
        <v>NA</v>
      </c>
    </row>
    <row r="337" spans="1:6" x14ac:dyDescent="0.3">
      <c r="A337" t="s">
        <v>248</v>
      </c>
      <c r="B337" t="s">
        <v>10</v>
      </c>
      <c r="C337">
        <v>5</v>
      </c>
      <c r="D337">
        <v>2026</v>
      </c>
      <c r="E337" cm="1">
        <f t="array" ref="E337">_xlfn.XLOOKUP(Table2[[#This Row],[college]]&amp;Table2[[#This Row],[division]]&amp;Table2[[#This Row],[year]],
Teams[college]&amp;Teams[division]&amp;Teams[year],
Teams[placing], "NA")</f>
        <v>0</v>
      </c>
      <c r="F337" s="1" cm="1">
        <f t="array" ref="F337">_xlfn.XLOOKUP(Table2[[#This Row],[college]]&amp;Table2[[#This Row],[division]]&amp;Table2[[#This Row],[year]],
Teams[college]&amp;Teams[division]&amp;Teams[year],
Teams[finish], "NA")</f>
        <v>0</v>
      </c>
    </row>
    <row r="338" spans="1:6" x14ac:dyDescent="0.3">
      <c r="A338" t="s">
        <v>251</v>
      </c>
      <c r="B338" t="s">
        <v>250</v>
      </c>
      <c r="C338">
        <v>3</v>
      </c>
      <c r="D338">
        <v>2025</v>
      </c>
      <c r="E338" cm="1">
        <f t="array" ref="E338">_xlfn.XLOOKUP(Table2[[#This Row],[college]]&amp;Table2[[#This Row],[division]]&amp;Table2[[#This Row],[year]],
Teams[college]&amp;Teams[division]&amp;Teams[year],
Teams[placing], "NA")</f>
        <v>8</v>
      </c>
      <c r="F338" s="1" cm="1">
        <f t="array" ref="F338">_xlfn.XLOOKUP(Table2[[#This Row],[college]]&amp;Table2[[#This Row],[division]]&amp;Table2[[#This Row],[year]],
Teams[college]&amp;Teams[division]&amp;Teams[year],
Teams[finish], "NA")</f>
        <v>0.64027777777777772</v>
      </c>
    </row>
    <row r="339" spans="1:6" x14ac:dyDescent="0.3">
      <c r="A339" t="s">
        <v>251</v>
      </c>
      <c r="B339" t="s">
        <v>250</v>
      </c>
      <c r="C339">
        <v>2</v>
      </c>
      <c r="D339">
        <v>2026</v>
      </c>
      <c r="E339" cm="1">
        <f t="array" ref="E339">_xlfn.XLOOKUP(Table2[[#This Row],[college]]&amp;Table2[[#This Row],[division]]&amp;Table2[[#This Row],[year]],
Teams[college]&amp;Teams[division]&amp;Teams[year],
Teams[placing], "NA")</f>
        <v>0</v>
      </c>
      <c r="F339" s="1" cm="1">
        <f t="array" ref="F339">_xlfn.XLOOKUP(Table2[[#This Row],[college]]&amp;Table2[[#This Row],[division]]&amp;Table2[[#This Row],[year]],
Teams[college]&amp;Teams[division]&amp;Teams[year],
Teams[finish], "NA")</f>
        <v>0</v>
      </c>
    </row>
    <row r="340" spans="1:6" x14ac:dyDescent="0.3">
      <c r="A340" t="s">
        <v>167</v>
      </c>
      <c r="B340" t="s">
        <v>123</v>
      </c>
      <c r="C340">
        <v>5</v>
      </c>
      <c r="D340">
        <v>2025</v>
      </c>
      <c r="E340" cm="1">
        <f t="array" ref="E340">_xlfn.XLOOKUP(Table2[[#This Row],[college]]&amp;Table2[[#This Row],[division]]&amp;Table2[[#This Row],[year]],
Teams[college]&amp;Teams[division]&amp;Teams[year],
Teams[placing], "NA")</f>
        <v>3</v>
      </c>
      <c r="F340" s="1" cm="1">
        <f t="array" ref="F340">_xlfn.XLOOKUP(Table2[[#This Row],[college]]&amp;Table2[[#This Row],[division]]&amp;Table2[[#This Row],[year]],
Teams[college]&amp;Teams[division]&amp;Teams[year],
Teams[finish], "NA")</f>
        <v>0.44722222222222224</v>
      </c>
    </row>
    <row r="341" spans="1:6" x14ac:dyDescent="0.3">
      <c r="A341" t="s">
        <v>167</v>
      </c>
      <c r="B341" t="s">
        <v>123</v>
      </c>
      <c r="C341">
        <v>4</v>
      </c>
      <c r="D341">
        <v>2023</v>
      </c>
      <c r="E341" cm="1">
        <f t="array" ref="E341">_xlfn.XLOOKUP(Table2[[#This Row],[college]]&amp;Table2[[#This Row],[division]]&amp;Table2[[#This Row],[year]],
Teams[college]&amp;Teams[division]&amp;Teams[year],
Teams[placing], "NA")</f>
        <v>6</v>
      </c>
      <c r="F341" s="1" cm="1">
        <f t="array" ref="F341">_xlfn.XLOOKUP(Table2[[#This Row],[college]]&amp;Table2[[#This Row],[division]]&amp;Table2[[#This Row],[year]],
Teams[college]&amp;Teams[division]&amp;Teams[year],
Teams[finish], "NA")</f>
        <v>0.63888888888888884</v>
      </c>
    </row>
    <row r="342" spans="1:6" x14ac:dyDescent="0.3">
      <c r="A342" t="s">
        <v>167</v>
      </c>
      <c r="B342" t="s">
        <v>123</v>
      </c>
      <c r="C342">
        <v>3</v>
      </c>
      <c r="D342">
        <v>2026</v>
      </c>
      <c r="E342" cm="1">
        <f t="array" ref="E342">_xlfn.XLOOKUP(Table2[[#This Row],[college]]&amp;Table2[[#This Row],[division]]&amp;Table2[[#This Row],[year]],
Teams[college]&amp;Teams[division]&amp;Teams[year],
Teams[placing], "NA")</f>
        <v>0</v>
      </c>
      <c r="F342" s="1" cm="1">
        <f t="array" ref="F342">_xlfn.XLOOKUP(Table2[[#This Row],[college]]&amp;Table2[[#This Row],[division]]&amp;Table2[[#This Row],[year]],
Teams[college]&amp;Teams[division]&amp;Teams[year],
Teams[finish], "NA")</f>
        <v>0</v>
      </c>
    </row>
    <row r="343" spans="1:6" x14ac:dyDescent="0.3">
      <c r="A343" t="s">
        <v>415</v>
      </c>
      <c r="B343" t="s">
        <v>250</v>
      </c>
      <c r="C343">
        <v>3</v>
      </c>
      <c r="D343">
        <v>2024</v>
      </c>
      <c r="E343" cm="1">
        <f t="array" ref="E343">_xlfn.XLOOKUP(Table2[[#This Row],[college]]&amp;Table2[[#This Row],[division]]&amp;Table2[[#This Row],[year]],
Teams[college]&amp;Teams[division]&amp;Teams[year],
Teams[placing], "NA")</f>
        <v>1</v>
      </c>
      <c r="F343" s="1" cm="1">
        <f t="array" ref="F343">_xlfn.XLOOKUP(Table2[[#This Row],[college]]&amp;Table2[[#This Row],[division]]&amp;Table2[[#This Row],[year]],
Teams[college]&amp;Teams[division]&amp;Teams[year],
Teams[finish], "NA")</f>
        <v>0.55833333333333335</v>
      </c>
    </row>
    <row r="344" spans="1:6" x14ac:dyDescent="0.3">
      <c r="A344" t="s">
        <v>415</v>
      </c>
      <c r="B344" t="s">
        <v>250</v>
      </c>
      <c r="C344">
        <v>1</v>
      </c>
      <c r="D344">
        <v>2023</v>
      </c>
      <c r="E344" cm="1">
        <f t="array" ref="E344">_xlfn.XLOOKUP(Table2[[#This Row],[college]]&amp;Table2[[#This Row],[division]]&amp;Table2[[#This Row],[year]],
Teams[college]&amp;Teams[division]&amp;Teams[year],
Teams[placing], "NA")</f>
        <v>2</v>
      </c>
      <c r="F344" s="1" cm="1">
        <f t="array" ref="F344">_xlfn.XLOOKUP(Table2[[#This Row],[college]]&amp;Table2[[#This Row],[division]]&amp;Table2[[#This Row],[year]],
Teams[college]&amp;Teams[division]&amp;Teams[year],
Teams[finish], "NA")</f>
        <v>0.65416666666666667</v>
      </c>
    </row>
    <row r="345" spans="1:6" x14ac:dyDescent="0.3">
      <c r="A345" t="s">
        <v>986</v>
      </c>
      <c r="B345" t="s">
        <v>5</v>
      </c>
      <c r="C345">
        <v>2</v>
      </c>
      <c r="D345">
        <v>2026</v>
      </c>
      <c r="E345" cm="1">
        <f t="array" ref="E345">_xlfn.XLOOKUP(Table2[[#This Row],[college]]&amp;Table2[[#This Row],[division]]&amp;Table2[[#This Row],[year]],
Teams[college]&amp;Teams[division]&amp;Teams[year],
Teams[placing], "NA")</f>
        <v>0</v>
      </c>
      <c r="F345" s="1" cm="1">
        <f t="array" ref="F345">_xlfn.XLOOKUP(Table2[[#This Row],[college]]&amp;Table2[[#This Row],[division]]&amp;Table2[[#This Row],[year]],
Teams[college]&amp;Teams[division]&amp;Teams[year],
Teams[finish], "NA")</f>
        <v>0</v>
      </c>
    </row>
    <row r="346" spans="1:6" x14ac:dyDescent="0.3">
      <c r="A346" t="s">
        <v>478</v>
      </c>
      <c r="B346" t="s">
        <v>48</v>
      </c>
      <c r="C346">
        <v>6</v>
      </c>
      <c r="D346">
        <v>2024</v>
      </c>
      <c r="E346" t="str" cm="1">
        <f t="array" ref="E346">_xlfn.XLOOKUP(Table2[[#This Row],[college]]&amp;Table2[[#This Row],[division]]&amp;Table2[[#This Row],[year]],
Teams[college]&amp;Teams[division]&amp;Teams[year],
Teams[placing], "NA")</f>
        <v>DNF</v>
      </c>
      <c r="F346" s="1" t="str" cm="1">
        <f t="array" ref="F346">_xlfn.XLOOKUP(Table2[[#This Row],[college]]&amp;Table2[[#This Row],[division]]&amp;Table2[[#This Row],[year]],
Teams[college]&amp;Teams[division]&amp;Teams[year],
Teams[finish], "NA")</f>
        <v>NA</v>
      </c>
    </row>
    <row r="347" spans="1:6" x14ac:dyDescent="0.3">
      <c r="A347" t="s">
        <v>887</v>
      </c>
      <c r="B347" t="s">
        <v>48</v>
      </c>
      <c r="C347">
        <v>5</v>
      </c>
      <c r="D347">
        <v>2026</v>
      </c>
      <c r="E347" cm="1">
        <f t="array" ref="E347">_xlfn.XLOOKUP(Table2[[#This Row],[college]]&amp;Table2[[#This Row],[division]]&amp;Table2[[#This Row],[year]],
Teams[college]&amp;Teams[division]&amp;Teams[year],
Teams[placing], "NA")</f>
        <v>0</v>
      </c>
      <c r="F347" s="1" cm="1">
        <f t="array" ref="F347">_xlfn.XLOOKUP(Table2[[#This Row],[college]]&amp;Table2[[#This Row],[division]]&amp;Table2[[#This Row],[year]],
Teams[college]&amp;Teams[division]&amp;Teams[year],
Teams[finish], "NA")</f>
        <v>0</v>
      </c>
    </row>
    <row r="348" spans="1:6" x14ac:dyDescent="0.3">
      <c r="A348" t="s">
        <v>7</v>
      </c>
      <c r="B348" t="s">
        <v>15</v>
      </c>
      <c r="C348">
        <v>3</v>
      </c>
      <c r="D348">
        <v>2022</v>
      </c>
      <c r="E348" cm="1">
        <f t="array" ref="E348">_xlfn.XLOOKUP(Table2[[#This Row],[college]]&amp;Table2[[#This Row],[division]]&amp;Table2[[#This Row],[year]],
Teams[college]&amp;Teams[division]&amp;Teams[year],
Teams[placing], "NA")</f>
        <v>2</v>
      </c>
      <c r="F348" s="1" cm="1">
        <f t="array" ref="F348">_xlfn.XLOOKUP(Table2[[#This Row],[college]]&amp;Table2[[#This Row],[division]]&amp;Table2[[#This Row],[year]],
Teams[college]&amp;Teams[division]&amp;Teams[year],
Teams[finish], "NA")</f>
        <v>0.41458333333333336</v>
      </c>
    </row>
    <row r="349" spans="1:6" x14ac:dyDescent="0.3">
      <c r="A349" t="s">
        <v>7</v>
      </c>
      <c r="B349" t="s">
        <v>5</v>
      </c>
      <c r="C349">
        <v>6</v>
      </c>
      <c r="D349">
        <v>2025</v>
      </c>
      <c r="E349" cm="1">
        <f t="array" ref="E349">_xlfn.XLOOKUP(Table2[[#This Row],[college]]&amp;Table2[[#This Row],[division]]&amp;Table2[[#This Row],[year]],
Teams[college]&amp;Teams[division]&amp;Teams[year],
Teams[placing], "NA")</f>
        <v>7</v>
      </c>
      <c r="F349" s="1" cm="1">
        <f t="array" ref="F349">_xlfn.XLOOKUP(Table2[[#This Row],[college]]&amp;Table2[[#This Row],[division]]&amp;Table2[[#This Row],[year]],
Teams[college]&amp;Teams[division]&amp;Teams[year],
Teams[finish], "NA")</f>
        <v>0.59652777777777777</v>
      </c>
    </row>
    <row r="350" spans="1:6" x14ac:dyDescent="0.3">
      <c r="A350" t="s">
        <v>387</v>
      </c>
      <c r="B350" t="s">
        <v>123</v>
      </c>
      <c r="C350">
        <v>3</v>
      </c>
      <c r="D350">
        <v>2025</v>
      </c>
      <c r="E350" cm="1">
        <f t="array" ref="E350">_xlfn.XLOOKUP(Table2[[#This Row],[college]]&amp;Table2[[#This Row],[division]]&amp;Table2[[#This Row],[year]],
Teams[college]&amp;Teams[division]&amp;Teams[year],
Teams[placing], "NA")</f>
        <v>2</v>
      </c>
      <c r="F350" s="1" cm="1">
        <f t="array" ref="F350">_xlfn.XLOOKUP(Table2[[#This Row],[college]]&amp;Table2[[#This Row],[division]]&amp;Table2[[#This Row],[year]],
Teams[college]&amp;Teams[division]&amp;Teams[year],
Teams[finish], "NA")</f>
        <v>0.52083333333333337</v>
      </c>
    </row>
    <row r="351" spans="1:6" x14ac:dyDescent="0.3">
      <c r="A351" t="s">
        <v>387</v>
      </c>
      <c r="B351" t="s">
        <v>123</v>
      </c>
      <c r="C351">
        <v>1</v>
      </c>
      <c r="D351">
        <v>2024</v>
      </c>
      <c r="E351" cm="1">
        <f t="array" ref="E351">_xlfn.XLOOKUP(Table2[[#This Row],[college]]&amp;Table2[[#This Row],[division]]&amp;Table2[[#This Row],[year]],
Teams[college]&amp;Teams[division]&amp;Teams[year],
Teams[placing], "NA")</f>
        <v>4</v>
      </c>
      <c r="F351" s="1" cm="1">
        <f t="array" ref="F351">_xlfn.XLOOKUP(Table2[[#This Row],[college]]&amp;Table2[[#This Row],[division]]&amp;Table2[[#This Row],[year]],
Teams[college]&amp;Teams[division]&amp;Teams[year],
Teams[finish], "NA")</f>
        <v>0.55277777777777781</v>
      </c>
    </row>
    <row r="352" spans="1:6" x14ac:dyDescent="0.3">
      <c r="A352" t="s">
        <v>535</v>
      </c>
      <c r="B352" t="s">
        <v>19</v>
      </c>
      <c r="C352">
        <v>3</v>
      </c>
      <c r="D352">
        <v>2022</v>
      </c>
      <c r="E352" cm="1">
        <f t="array" ref="E352">_xlfn.XLOOKUP(Table2[[#This Row],[college]]&amp;Table2[[#This Row],[division]]&amp;Table2[[#This Row],[year]],
Teams[college]&amp;Teams[division]&amp;Teams[year],
Teams[placing], "NA")</f>
        <v>4</v>
      </c>
      <c r="F352" s="1" cm="1">
        <f t="array" ref="F352">_xlfn.XLOOKUP(Table2[[#This Row],[college]]&amp;Table2[[#This Row],[division]]&amp;Table2[[#This Row],[year]],
Teams[college]&amp;Teams[division]&amp;Teams[year],
Teams[finish], "NA")</f>
        <v>0.51180555555555562</v>
      </c>
    </row>
    <row r="353" spans="1:6" x14ac:dyDescent="0.3">
      <c r="A353" t="s">
        <v>535</v>
      </c>
      <c r="B353" t="s">
        <v>19</v>
      </c>
      <c r="C353">
        <v>2</v>
      </c>
      <c r="D353">
        <v>2023</v>
      </c>
      <c r="E353" cm="1">
        <f t="array" ref="E353">_xlfn.XLOOKUP(Table2[[#This Row],[college]]&amp;Table2[[#This Row],[division]]&amp;Table2[[#This Row],[year]],
Teams[college]&amp;Teams[division]&amp;Teams[year],
Teams[placing], "NA")</f>
        <v>3</v>
      </c>
      <c r="F353" s="1" cm="1">
        <f t="array" ref="F353">_xlfn.XLOOKUP(Table2[[#This Row],[college]]&amp;Table2[[#This Row],[division]]&amp;Table2[[#This Row],[year]],
Teams[college]&amp;Teams[division]&amp;Teams[year],
Teams[finish], "NA")</f>
        <v>0.58750000000000002</v>
      </c>
    </row>
    <row r="354" spans="1:6" x14ac:dyDescent="0.3">
      <c r="A354" t="s">
        <v>535</v>
      </c>
      <c r="B354" t="s">
        <v>19</v>
      </c>
      <c r="C354">
        <v>1</v>
      </c>
      <c r="D354">
        <v>2024</v>
      </c>
      <c r="E354" cm="1">
        <f t="array" ref="E354">_xlfn.XLOOKUP(Table2[[#This Row],[college]]&amp;Table2[[#This Row],[division]]&amp;Table2[[#This Row],[year]],
Teams[college]&amp;Teams[division]&amp;Teams[year],
Teams[placing], "NA")</f>
        <v>6</v>
      </c>
      <c r="F354" s="1" cm="1">
        <f t="array" ref="F354">_xlfn.XLOOKUP(Table2[[#This Row],[college]]&amp;Table2[[#This Row],[division]]&amp;Table2[[#This Row],[year]],
Teams[college]&amp;Teams[division]&amp;Teams[year],
Teams[finish], "NA")</f>
        <v>0.68402777777777779</v>
      </c>
    </row>
    <row r="355" spans="1:6" x14ac:dyDescent="0.3">
      <c r="A355" t="s">
        <v>413</v>
      </c>
      <c r="B355" t="s">
        <v>10</v>
      </c>
      <c r="C355">
        <v>3</v>
      </c>
      <c r="D355">
        <v>2024</v>
      </c>
      <c r="E355" t="str" cm="1">
        <f t="array" ref="E355">_xlfn.XLOOKUP(Table2[[#This Row],[college]]&amp;Table2[[#This Row],[division]]&amp;Table2[[#This Row],[year]],
Teams[college]&amp;Teams[division]&amp;Teams[year],
Teams[placing], "NA")</f>
        <v>DNF</v>
      </c>
      <c r="F355" s="1" t="str" cm="1">
        <f t="array" ref="F355">_xlfn.XLOOKUP(Table2[[#This Row],[college]]&amp;Table2[[#This Row],[division]]&amp;Table2[[#This Row],[year]],
Teams[college]&amp;Teams[division]&amp;Teams[year],
Teams[finish], "NA")</f>
        <v>NA</v>
      </c>
    </row>
    <row r="356" spans="1:6" x14ac:dyDescent="0.3">
      <c r="A356" t="s">
        <v>673</v>
      </c>
      <c r="B356" t="s">
        <v>15</v>
      </c>
      <c r="C356">
        <v>2</v>
      </c>
      <c r="D356">
        <v>2022</v>
      </c>
      <c r="E356" cm="1">
        <f t="array" ref="E356">_xlfn.XLOOKUP(Table2[[#This Row],[college]]&amp;Table2[[#This Row],[division]]&amp;Table2[[#This Row],[year]],
Teams[college]&amp;Teams[division]&amp;Teams[year],
Teams[placing], "NA")</f>
        <v>2</v>
      </c>
      <c r="F356" s="1" cm="1">
        <f t="array" ref="F356">_xlfn.XLOOKUP(Table2[[#This Row],[college]]&amp;Table2[[#This Row],[division]]&amp;Table2[[#This Row],[year]],
Teams[college]&amp;Teams[division]&amp;Teams[year],
Teams[finish], "NA")</f>
        <v>0.67083333333333328</v>
      </c>
    </row>
    <row r="357" spans="1:6" x14ac:dyDescent="0.3">
      <c r="A357" t="s">
        <v>767</v>
      </c>
      <c r="B357" t="s">
        <v>123</v>
      </c>
      <c r="C357">
        <v>2</v>
      </c>
      <c r="D357">
        <v>2026</v>
      </c>
      <c r="E357" cm="1">
        <f t="array" ref="E357">_xlfn.XLOOKUP(Table2[[#This Row],[college]]&amp;Table2[[#This Row],[division]]&amp;Table2[[#This Row],[year]],
Teams[college]&amp;Teams[division]&amp;Teams[year],
Teams[placing], "NA")</f>
        <v>0</v>
      </c>
      <c r="F357" s="1" cm="1">
        <f t="array" ref="F357">_xlfn.XLOOKUP(Table2[[#This Row],[college]]&amp;Table2[[#This Row],[division]]&amp;Table2[[#This Row],[year]],
Teams[college]&amp;Teams[division]&amp;Teams[year],
Teams[finish], "NA")</f>
        <v>0</v>
      </c>
    </row>
    <row r="358" spans="1:6" x14ac:dyDescent="0.3">
      <c r="A358" t="s">
        <v>589</v>
      </c>
      <c r="B358" t="s">
        <v>19</v>
      </c>
      <c r="C358">
        <v>3</v>
      </c>
      <c r="D358">
        <v>2023</v>
      </c>
      <c r="E358" t="str" cm="1">
        <f t="array" ref="E358">_xlfn.XLOOKUP(Table2[[#This Row],[college]]&amp;Table2[[#This Row],[division]]&amp;Table2[[#This Row],[year]],
Teams[college]&amp;Teams[division]&amp;Teams[year],
Teams[placing], "NA")</f>
        <v>DNF</v>
      </c>
      <c r="F358" s="1" t="str" cm="1">
        <f t="array" ref="F358">_xlfn.XLOOKUP(Table2[[#This Row],[college]]&amp;Table2[[#This Row],[division]]&amp;Table2[[#This Row],[year]],
Teams[college]&amp;Teams[division]&amp;Teams[year],
Teams[finish], "NA")</f>
        <v>NA</v>
      </c>
    </row>
    <row r="359" spans="1:6" x14ac:dyDescent="0.3">
      <c r="A359" t="s">
        <v>589</v>
      </c>
      <c r="B359" t="s">
        <v>19</v>
      </c>
      <c r="C359">
        <v>1</v>
      </c>
      <c r="D359">
        <v>2022</v>
      </c>
      <c r="E359" t="str" cm="1">
        <f t="array" ref="E359">_xlfn.XLOOKUP(Table2[[#This Row],[college]]&amp;Table2[[#This Row],[division]]&amp;Table2[[#This Row],[year]],
Teams[college]&amp;Teams[division]&amp;Teams[year],
Teams[placing], "NA")</f>
        <v>DNF</v>
      </c>
      <c r="F359" s="1" t="str" cm="1">
        <f t="array" ref="F359">_xlfn.XLOOKUP(Table2[[#This Row],[college]]&amp;Table2[[#This Row],[division]]&amp;Table2[[#This Row],[year]],
Teams[college]&amp;Teams[division]&amp;Teams[year],
Teams[finish], "NA")</f>
        <v>NA</v>
      </c>
    </row>
    <row r="360" spans="1:6" x14ac:dyDescent="0.3">
      <c r="A360" t="s">
        <v>229</v>
      </c>
      <c r="B360" t="s">
        <v>10</v>
      </c>
      <c r="C360">
        <v>5</v>
      </c>
      <c r="D360">
        <v>2025</v>
      </c>
      <c r="E360" cm="1">
        <f t="array" ref="E360">_xlfn.XLOOKUP(Table2[[#This Row],[college]]&amp;Table2[[#This Row],[division]]&amp;Table2[[#This Row],[year]],
Teams[college]&amp;Teams[division]&amp;Teams[year],
Teams[placing], "NA")</f>
        <v>1</v>
      </c>
      <c r="F360" s="1" cm="1">
        <f t="array" ref="F360">_xlfn.XLOOKUP(Table2[[#This Row],[college]]&amp;Table2[[#This Row],[division]]&amp;Table2[[#This Row],[year]],
Teams[college]&amp;Teams[division]&amp;Teams[year],
Teams[finish], "NA")</f>
        <v>0.42222222222222222</v>
      </c>
    </row>
    <row r="361" spans="1:6" x14ac:dyDescent="0.3">
      <c r="A361" t="s">
        <v>229</v>
      </c>
      <c r="B361" t="s">
        <v>10</v>
      </c>
      <c r="C361">
        <v>7</v>
      </c>
      <c r="D361">
        <v>2026</v>
      </c>
      <c r="E361" cm="1">
        <f t="array" ref="E361">_xlfn.XLOOKUP(Table2[[#This Row],[college]]&amp;Table2[[#This Row],[division]]&amp;Table2[[#This Row],[year]],
Teams[college]&amp;Teams[division]&amp;Teams[year],
Teams[placing], "NA")</f>
        <v>0</v>
      </c>
      <c r="F361" s="1" cm="1">
        <f t="array" ref="F361">_xlfn.XLOOKUP(Table2[[#This Row],[college]]&amp;Table2[[#This Row],[division]]&amp;Table2[[#This Row],[year]],
Teams[college]&amp;Teams[division]&amp;Teams[year],
Teams[finish], "NA")</f>
        <v>0</v>
      </c>
    </row>
    <row r="362" spans="1:6" x14ac:dyDescent="0.3">
      <c r="A362" t="s">
        <v>779</v>
      </c>
      <c r="B362" t="s">
        <v>123</v>
      </c>
      <c r="C362">
        <v>7</v>
      </c>
      <c r="D362">
        <v>2026</v>
      </c>
      <c r="E362" cm="1">
        <f t="array" ref="E362">_xlfn.XLOOKUP(Table2[[#This Row],[college]]&amp;Table2[[#This Row],[division]]&amp;Table2[[#This Row],[year]],
Teams[college]&amp;Teams[division]&amp;Teams[year],
Teams[placing], "NA")</f>
        <v>0</v>
      </c>
      <c r="F362" s="1" cm="1">
        <f t="array" ref="F362">_xlfn.XLOOKUP(Table2[[#This Row],[college]]&amp;Table2[[#This Row],[division]]&amp;Table2[[#This Row],[year]],
Teams[college]&amp;Teams[division]&amp;Teams[year],
Teams[finish], "NA")</f>
        <v>0</v>
      </c>
    </row>
    <row r="363" spans="1:6" x14ac:dyDescent="0.3">
      <c r="A363" t="s">
        <v>418</v>
      </c>
      <c r="B363" t="s">
        <v>266</v>
      </c>
      <c r="C363">
        <v>4</v>
      </c>
      <c r="D363">
        <v>2022</v>
      </c>
      <c r="E363" cm="1">
        <f t="array" ref="E363">_xlfn.XLOOKUP(Table2[[#This Row],[college]]&amp;Table2[[#This Row],[division]]&amp;Table2[[#This Row],[year]],
Teams[college]&amp;Teams[division]&amp;Teams[year],
Teams[placing], "NA")</f>
        <v>3</v>
      </c>
      <c r="F363" s="1" cm="1">
        <f t="array" ref="F363">_xlfn.XLOOKUP(Table2[[#This Row],[college]]&amp;Table2[[#This Row],[division]]&amp;Table2[[#This Row],[year]],
Teams[college]&amp;Teams[division]&amp;Teams[year],
Teams[finish], "NA")</f>
        <v>0.44791666666666669</v>
      </c>
    </row>
    <row r="364" spans="1:6" x14ac:dyDescent="0.3">
      <c r="A364" t="s">
        <v>418</v>
      </c>
      <c r="B364" t="s">
        <v>266</v>
      </c>
      <c r="C364">
        <v>6</v>
      </c>
      <c r="D364">
        <v>2023</v>
      </c>
      <c r="E364" cm="1">
        <f t="array" ref="E364">_xlfn.XLOOKUP(Table2[[#This Row],[college]]&amp;Table2[[#This Row],[division]]&amp;Table2[[#This Row],[year]],
Teams[college]&amp;Teams[division]&amp;Teams[year],
Teams[placing], "NA")</f>
        <v>2</v>
      </c>
      <c r="F364" s="1" cm="1">
        <f t="array" ref="F364">_xlfn.XLOOKUP(Table2[[#This Row],[college]]&amp;Table2[[#This Row],[division]]&amp;Table2[[#This Row],[year]],
Teams[college]&amp;Teams[division]&amp;Teams[year],
Teams[finish], "NA")</f>
        <v>0.55763888888888891</v>
      </c>
    </row>
    <row r="365" spans="1:6" x14ac:dyDescent="0.3">
      <c r="A365" t="s">
        <v>418</v>
      </c>
      <c r="B365" t="s">
        <v>266</v>
      </c>
      <c r="C365">
        <v>4</v>
      </c>
      <c r="D365">
        <v>2024</v>
      </c>
      <c r="E365" cm="1">
        <f t="array" ref="E365">_xlfn.XLOOKUP(Table2[[#This Row],[college]]&amp;Table2[[#This Row],[division]]&amp;Table2[[#This Row],[year]],
Teams[college]&amp;Teams[division]&amp;Teams[year],
Teams[placing], "NA")</f>
        <v>2</v>
      </c>
      <c r="F365" s="1" cm="1">
        <f t="array" ref="F365">_xlfn.XLOOKUP(Table2[[#This Row],[college]]&amp;Table2[[#This Row],[division]]&amp;Table2[[#This Row],[year]],
Teams[college]&amp;Teams[division]&amp;Teams[year],
Teams[finish], "NA")</f>
        <v>0.63749999999999996</v>
      </c>
    </row>
    <row r="366" spans="1:6" x14ac:dyDescent="0.3">
      <c r="A366" t="s">
        <v>531</v>
      </c>
      <c r="B366" t="s">
        <v>5</v>
      </c>
      <c r="C366">
        <v>3</v>
      </c>
      <c r="D366">
        <v>2022</v>
      </c>
      <c r="E366" cm="1">
        <f t="array" ref="E366">_xlfn.XLOOKUP(Table2[[#This Row],[college]]&amp;Table2[[#This Row],[division]]&amp;Table2[[#This Row],[year]],
Teams[college]&amp;Teams[division]&amp;Teams[year],
Teams[placing], "NA")</f>
        <v>1</v>
      </c>
      <c r="F366" s="1" cm="1">
        <f t="array" ref="F366">_xlfn.XLOOKUP(Table2[[#This Row],[college]]&amp;Table2[[#This Row],[division]]&amp;Table2[[#This Row],[year]],
Teams[college]&amp;Teams[division]&amp;Teams[year],
Teams[finish], "NA")</f>
        <v>0.39791666666666664</v>
      </c>
    </row>
    <row r="367" spans="1:6" x14ac:dyDescent="0.3">
      <c r="A367" t="s">
        <v>531</v>
      </c>
      <c r="B367" t="s">
        <v>5</v>
      </c>
      <c r="C367">
        <v>4</v>
      </c>
      <c r="D367">
        <v>2023</v>
      </c>
      <c r="E367" cm="1">
        <f t="array" ref="E367">_xlfn.XLOOKUP(Table2[[#This Row],[college]]&amp;Table2[[#This Row],[division]]&amp;Table2[[#This Row],[year]],
Teams[college]&amp;Teams[division]&amp;Teams[year],
Teams[placing], "NA")</f>
        <v>4</v>
      </c>
      <c r="F367" s="1" cm="1">
        <f t="array" ref="F367">_xlfn.XLOOKUP(Table2[[#This Row],[college]]&amp;Table2[[#This Row],[division]]&amp;Table2[[#This Row],[year]],
Teams[college]&amp;Teams[division]&amp;Teams[year],
Teams[finish], "NA")</f>
        <v>0.57708333333333328</v>
      </c>
    </row>
    <row r="368" spans="1:6" x14ac:dyDescent="0.3">
      <c r="A368" t="s">
        <v>436</v>
      </c>
      <c r="B368" t="s">
        <v>266</v>
      </c>
      <c r="C368">
        <v>7</v>
      </c>
      <c r="D368">
        <v>2022</v>
      </c>
      <c r="E368" cm="1">
        <f t="array" ref="E368">_xlfn.XLOOKUP(Table2[[#This Row],[college]]&amp;Table2[[#This Row],[division]]&amp;Table2[[#This Row],[year]],
Teams[college]&amp;Teams[division]&amp;Teams[year],
Teams[placing], "NA")</f>
        <v>8</v>
      </c>
      <c r="F368" s="1" cm="1">
        <f t="array" ref="F368">_xlfn.XLOOKUP(Table2[[#This Row],[college]]&amp;Table2[[#This Row],[division]]&amp;Table2[[#This Row],[year]],
Teams[college]&amp;Teams[division]&amp;Teams[year],
Teams[finish], "NA")</f>
        <v>0.49791666666666667</v>
      </c>
    </row>
    <row r="369" spans="1:6" x14ac:dyDescent="0.3">
      <c r="A369" t="s">
        <v>436</v>
      </c>
      <c r="B369" t="s">
        <v>266</v>
      </c>
      <c r="C369">
        <v>7</v>
      </c>
      <c r="D369">
        <v>2023</v>
      </c>
      <c r="E369" cm="1">
        <f t="array" ref="E369">_xlfn.XLOOKUP(Table2[[#This Row],[college]]&amp;Table2[[#This Row],[division]]&amp;Table2[[#This Row],[year]],
Teams[college]&amp;Teams[division]&amp;Teams[year],
Teams[placing], "NA")</f>
        <v>6</v>
      </c>
      <c r="F369" s="1" cm="1">
        <f t="array" ref="F369">_xlfn.XLOOKUP(Table2[[#This Row],[college]]&amp;Table2[[#This Row],[division]]&amp;Table2[[#This Row],[year]],
Teams[college]&amp;Teams[division]&amp;Teams[year],
Teams[finish], "NA")</f>
        <v>0.58819444444444446</v>
      </c>
    </row>
    <row r="370" spans="1:6" x14ac:dyDescent="0.3">
      <c r="A370" t="s">
        <v>436</v>
      </c>
      <c r="B370" t="s">
        <v>266</v>
      </c>
      <c r="C370">
        <v>5</v>
      </c>
      <c r="D370">
        <v>2024</v>
      </c>
      <c r="E370" cm="1">
        <f t="array" ref="E370">_xlfn.XLOOKUP(Table2[[#This Row],[college]]&amp;Table2[[#This Row],[division]]&amp;Table2[[#This Row],[year]],
Teams[college]&amp;Teams[division]&amp;Teams[year],
Teams[placing], "NA")</f>
        <v>9</v>
      </c>
      <c r="F370" s="1" cm="1">
        <f t="array" ref="F370">_xlfn.XLOOKUP(Table2[[#This Row],[college]]&amp;Table2[[#This Row],[division]]&amp;Table2[[#This Row],[year]],
Teams[college]&amp;Teams[division]&amp;Teams[year],
Teams[finish], "NA")</f>
        <v>0.65902777777777777</v>
      </c>
    </row>
    <row r="371" spans="1:6" x14ac:dyDescent="0.3">
      <c r="A371" t="s">
        <v>672</v>
      </c>
      <c r="B371" t="s">
        <v>15</v>
      </c>
      <c r="C371">
        <v>1</v>
      </c>
      <c r="D371">
        <v>2022</v>
      </c>
      <c r="E371" cm="1">
        <f t="array" ref="E371">_xlfn.XLOOKUP(Table2[[#This Row],[college]]&amp;Table2[[#This Row],[division]]&amp;Table2[[#This Row],[year]],
Teams[college]&amp;Teams[division]&amp;Teams[year],
Teams[placing], "NA")</f>
        <v>2</v>
      </c>
      <c r="F371" s="1" cm="1">
        <f t="array" ref="F371">_xlfn.XLOOKUP(Table2[[#This Row],[college]]&amp;Table2[[#This Row],[division]]&amp;Table2[[#This Row],[year]],
Teams[college]&amp;Teams[division]&amp;Teams[year],
Teams[finish], "NA")</f>
        <v>0.48402777777777778</v>
      </c>
    </row>
    <row r="372" spans="1:6" x14ac:dyDescent="0.3">
      <c r="A372" t="s">
        <v>120</v>
      </c>
      <c r="B372" t="s">
        <v>5</v>
      </c>
      <c r="C372">
        <v>7</v>
      </c>
      <c r="D372">
        <v>2025</v>
      </c>
      <c r="E372" cm="1">
        <f t="array" ref="E372">_xlfn.XLOOKUP(Table2[[#This Row],[college]]&amp;Table2[[#This Row],[division]]&amp;Table2[[#This Row],[year]],
Teams[college]&amp;Teams[division]&amp;Teams[year],
Teams[placing], "NA")</f>
        <v>7</v>
      </c>
      <c r="F372" s="1" cm="1">
        <f t="array" ref="F372">_xlfn.XLOOKUP(Table2[[#This Row],[college]]&amp;Table2[[#This Row],[division]]&amp;Table2[[#This Row],[year]],
Teams[college]&amp;Teams[division]&amp;Teams[year],
Teams[finish], "NA")</f>
        <v>0.51944444444444449</v>
      </c>
    </row>
    <row r="373" spans="1:6" x14ac:dyDescent="0.3">
      <c r="A373" t="s">
        <v>933</v>
      </c>
      <c r="B373" t="s">
        <v>266</v>
      </c>
      <c r="C373">
        <v>6</v>
      </c>
      <c r="D373">
        <v>2026</v>
      </c>
      <c r="E373" cm="1">
        <f t="array" ref="E373">_xlfn.XLOOKUP(Table2[[#This Row],[college]]&amp;Table2[[#This Row],[division]]&amp;Table2[[#This Row],[year]],
Teams[college]&amp;Teams[division]&amp;Teams[year],
Teams[placing], "NA")</f>
        <v>0</v>
      </c>
      <c r="F373" s="1" cm="1">
        <f t="array" ref="F373">_xlfn.XLOOKUP(Table2[[#This Row],[college]]&amp;Table2[[#This Row],[division]]&amp;Table2[[#This Row],[year]],
Teams[college]&amp;Teams[division]&amp;Teams[year],
Teams[finish], "NA")</f>
        <v>0</v>
      </c>
    </row>
    <row r="374" spans="1:6" x14ac:dyDescent="0.3">
      <c r="A374" t="s">
        <v>426</v>
      </c>
      <c r="B374" t="s">
        <v>132</v>
      </c>
      <c r="C374">
        <v>7</v>
      </c>
      <c r="D374">
        <v>2023</v>
      </c>
      <c r="E374" cm="1">
        <f t="array" ref="E374">_xlfn.XLOOKUP(Table2[[#This Row],[college]]&amp;Table2[[#This Row],[division]]&amp;Table2[[#This Row],[year]],
Teams[college]&amp;Teams[division]&amp;Teams[year],
Teams[placing], "NA")</f>
        <v>8</v>
      </c>
      <c r="F374" s="1" cm="1">
        <f t="array" ref="F374">_xlfn.XLOOKUP(Table2[[#This Row],[college]]&amp;Table2[[#This Row],[division]]&amp;Table2[[#This Row],[year]],
Teams[college]&amp;Teams[division]&amp;Teams[year],
Teams[finish], "NA")</f>
        <v>0.6</v>
      </c>
    </row>
    <row r="375" spans="1:6" x14ac:dyDescent="0.3">
      <c r="A375" t="s">
        <v>426</v>
      </c>
      <c r="B375" t="s">
        <v>132</v>
      </c>
      <c r="C375">
        <v>6</v>
      </c>
      <c r="D375">
        <v>2022</v>
      </c>
      <c r="E375" cm="1">
        <f t="array" ref="E375">_xlfn.XLOOKUP(Table2[[#This Row],[college]]&amp;Table2[[#This Row],[division]]&amp;Table2[[#This Row],[year]],
Teams[college]&amp;Teams[division]&amp;Teams[year],
Teams[placing], "NA")</f>
        <v>8</v>
      </c>
      <c r="F375" s="1" cm="1">
        <f t="array" ref="F375">_xlfn.XLOOKUP(Table2[[#This Row],[college]]&amp;Table2[[#This Row],[division]]&amp;Table2[[#This Row],[year]],
Teams[college]&amp;Teams[division]&amp;Teams[year],
Teams[finish], "NA")</f>
        <v>0.66319444444444442</v>
      </c>
    </row>
    <row r="376" spans="1:6" x14ac:dyDescent="0.3">
      <c r="A376" t="s">
        <v>426</v>
      </c>
      <c r="B376" t="s">
        <v>48</v>
      </c>
      <c r="C376">
        <v>7</v>
      </c>
      <c r="D376">
        <v>2024</v>
      </c>
      <c r="E376" cm="1">
        <f t="array" ref="E376">_xlfn.XLOOKUP(Table2[[#This Row],[college]]&amp;Table2[[#This Row],[division]]&amp;Table2[[#This Row],[year]],
Teams[college]&amp;Teams[division]&amp;Teams[year],
Teams[placing], "NA")</f>
        <v>6</v>
      </c>
      <c r="F376" s="1" cm="1">
        <f t="array" ref="F376">_xlfn.XLOOKUP(Table2[[#This Row],[college]]&amp;Table2[[#This Row],[division]]&amp;Table2[[#This Row],[year]],
Teams[college]&amp;Teams[division]&amp;Teams[year],
Teams[finish], "NA")</f>
        <v>0.6958333333333333</v>
      </c>
    </row>
    <row r="377" spans="1:6" x14ac:dyDescent="0.3">
      <c r="A377" t="s">
        <v>188</v>
      </c>
      <c r="B377" t="s">
        <v>123</v>
      </c>
      <c r="C377">
        <v>7</v>
      </c>
      <c r="D377">
        <v>2025</v>
      </c>
      <c r="E377" cm="1">
        <f t="array" ref="E377">_xlfn.XLOOKUP(Table2[[#This Row],[college]]&amp;Table2[[#This Row],[division]]&amp;Table2[[#This Row],[year]],
Teams[college]&amp;Teams[division]&amp;Teams[year],
Teams[placing], "NA")</f>
        <v>11</v>
      </c>
      <c r="F377" s="1" cm="1">
        <f t="array" ref="F377">_xlfn.XLOOKUP(Table2[[#This Row],[college]]&amp;Table2[[#This Row],[division]]&amp;Table2[[#This Row],[year]],
Teams[college]&amp;Teams[division]&amp;Teams[year],
Teams[finish], "NA")</f>
        <v>0.63472222222222219</v>
      </c>
    </row>
    <row r="378" spans="1:6" x14ac:dyDescent="0.3">
      <c r="A378" t="s">
        <v>93</v>
      </c>
      <c r="B378" t="s">
        <v>756</v>
      </c>
      <c r="C378">
        <v>6</v>
      </c>
      <c r="D378">
        <v>2025</v>
      </c>
      <c r="E378" t="str" cm="1">
        <f t="array" ref="E378">_xlfn.XLOOKUP(Table2[[#This Row],[college]]&amp;Table2[[#This Row],[division]]&amp;Table2[[#This Row],[year]],
Teams[college]&amp;Teams[division]&amp;Teams[year],
Teams[placing], "NA")</f>
        <v>NA</v>
      </c>
      <c r="F378" s="1" cm="1">
        <f t="array" ref="F378">_xlfn.XLOOKUP(Table2[[#This Row],[college]]&amp;Table2[[#This Row],[division]]&amp;Table2[[#This Row],[year]],
Teams[college]&amp;Teams[division]&amp;Teams[year],
Teams[finish], "NA")</f>
        <v>0.63611111111111107</v>
      </c>
    </row>
    <row r="379" spans="1:6" x14ac:dyDescent="0.3">
      <c r="A379" t="s">
        <v>93</v>
      </c>
      <c r="B379" t="s">
        <v>19</v>
      </c>
      <c r="C379">
        <v>5</v>
      </c>
      <c r="D379">
        <v>2024</v>
      </c>
      <c r="E379" cm="1">
        <f t="array" ref="E379">_xlfn.XLOOKUP(Table2[[#This Row],[college]]&amp;Table2[[#This Row],[division]]&amp;Table2[[#This Row],[year]],
Teams[college]&amp;Teams[division]&amp;Teams[year],
Teams[placing], "NA")</f>
        <v>8</v>
      </c>
      <c r="F379" s="1" cm="1">
        <f t="array" ref="F379">_xlfn.XLOOKUP(Table2[[#This Row],[college]]&amp;Table2[[#This Row],[division]]&amp;Table2[[#This Row],[year]],
Teams[college]&amp;Teams[division]&amp;Teams[year],
Teams[finish], "NA")</f>
        <v>0.64513888888888893</v>
      </c>
    </row>
    <row r="380" spans="1:6" x14ac:dyDescent="0.3">
      <c r="A380" t="s">
        <v>104</v>
      </c>
      <c r="B380" t="s">
        <v>15</v>
      </c>
      <c r="C380">
        <v>2</v>
      </c>
      <c r="D380">
        <v>2024</v>
      </c>
      <c r="E380" cm="1">
        <f t="array" ref="E380">_xlfn.XLOOKUP(Table2[[#This Row],[college]]&amp;Table2[[#This Row],[division]]&amp;Table2[[#This Row],[year]],
Teams[college]&amp;Teams[division]&amp;Teams[year],
Teams[placing], "NA")</f>
        <v>7</v>
      </c>
      <c r="F380" s="1" cm="1">
        <f t="array" ref="F380">_xlfn.XLOOKUP(Table2[[#This Row],[college]]&amp;Table2[[#This Row],[division]]&amp;Table2[[#This Row],[year]],
Teams[college]&amp;Teams[division]&amp;Teams[year],
Teams[finish], "NA")</f>
        <v>0.59583333333333333</v>
      </c>
    </row>
    <row r="381" spans="1:6" x14ac:dyDescent="0.3">
      <c r="A381" t="s">
        <v>104</v>
      </c>
      <c r="B381" t="s">
        <v>15</v>
      </c>
      <c r="C381">
        <v>3</v>
      </c>
      <c r="D381">
        <v>2025</v>
      </c>
      <c r="E381" cm="1">
        <f t="array" ref="E381">_xlfn.XLOOKUP(Table2[[#This Row],[college]]&amp;Table2[[#This Row],[division]]&amp;Table2[[#This Row],[year]],
Teams[college]&amp;Teams[division]&amp;Teams[year],
Teams[placing], "NA")</f>
        <v>7</v>
      </c>
      <c r="F381" s="1" cm="1">
        <f t="array" ref="F381">_xlfn.XLOOKUP(Table2[[#This Row],[college]]&amp;Table2[[#This Row],[division]]&amp;Table2[[#This Row],[year]],
Teams[college]&amp;Teams[division]&amp;Teams[year],
Teams[finish], "NA")</f>
        <v>0.6333333333333333</v>
      </c>
    </row>
    <row r="382" spans="1:6" x14ac:dyDescent="0.3">
      <c r="A382" t="s">
        <v>238</v>
      </c>
      <c r="B382" t="s">
        <v>10</v>
      </c>
      <c r="C382">
        <v>7</v>
      </c>
      <c r="D382">
        <v>2025</v>
      </c>
      <c r="E382" cm="1">
        <f t="array" ref="E382">_xlfn.XLOOKUP(Table2[[#This Row],[college]]&amp;Table2[[#This Row],[division]]&amp;Table2[[#This Row],[year]],
Teams[college]&amp;Teams[division]&amp;Teams[year],
Teams[placing], "NA")</f>
        <v>1</v>
      </c>
      <c r="F382" s="1" cm="1">
        <f t="array" ref="F382">_xlfn.XLOOKUP(Table2[[#This Row],[college]]&amp;Table2[[#This Row],[division]]&amp;Table2[[#This Row],[year]],
Teams[college]&amp;Teams[division]&amp;Teams[year],
Teams[finish], "NA")</f>
        <v>0.43333333333333335</v>
      </c>
    </row>
    <row r="383" spans="1:6" x14ac:dyDescent="0.3">
      <c r="A383" t="s">
        <v>238</v>
      </c>
      <c r="B383" t="s">
        <v>10</v>
      </c>
      <c r="C383">
        <v>6</v>
      </c>
      <c r="D383">
        <v>2024</v>
      </c>
      <c r="E383" t="str" cm="1">
        <f t="array" ref="E383">_xlfn.XLOOKUP(Table2[[#This Row],[college]]&amp;Table2[[#This Row],[division]]&amp;Table2[[#This Row],[year]],
Teams[college]&amp;Teams[division]&amp;Teams[year],
Teams[placing], "NA")</f>
        <v>DNF</v>
      </c>
      <c r="F383" s="1" t="str" cm="1">
        <f t="array" ref="F383">_xlfn.XLOOKUP(Table2[[#This Row],[college]]&amp;Table2[[#This Row],[division]]&amp;Table2[[#This Row],[year]],
Teams[college]&amp;Teams[division]&amp;Teams[year],
Teams[finish], "NA")</f>
        <v>NA</v>
      </c>
    </row>
    <row r="384" spans="1:6" x14ac:dyDescent="0.3">
      <c r="A384" t="s">
        <v>55</v>
      </c>
      <c r="B384" t="s">
        <v>19</v>
      </c>
      <c r="C384">
        <v>1</v>
      </c>
      <c r="D384">
        <v>2025</v>
      </c>
      <c r="E384" cm="1">
        <f t="array" ref="E384">_xlfn.XLOOKUP(Table2[[#This Row],[college]]&amp;Table2[[#This Row],[division]]&amp;Table2[[#This Row],[year]],
Teams[college]&amp;Teams[division]&amp;Teams[year],
Teams[placing], "NA")</f>
        <v>4</v>
      </c>
      <c r="F384" s="1" cm="1">
        <f t="array" ref="F384">_xlfn.XLOOKUP(Table2[[#This Row],[college]]&amp;Table2[[#This Row],[division]]&amp;Table2[[#This Row],[year]],
Teams[college]&amp;Teams[division]&amp;Teams[year],
Teams[finish], "NA")</f>
        <v>0.57013888888888886</v>
      </c>
    </row>
    <row r="385" spans="1:6" x14ac:dyDescent="0.3">
      <c r="A385" t="s">
        <v>537</v>
      </c>
      <c r="B385" t="s">
        <v>5</v>
      </c>
      <c r="C385">
        <v>5</v>
      </c>
      <c r="D385">
        <v>2023</v>
      </c>
      <c r="E385" t="str" cm="1">
        <f t="array" ref="E385">_xlfn.XLOOKUP(Table2[[#This Row],[college]]&amp;Table2[[#This Row],[division]]&amp;Table2[[#This Row],[year]],
Teams[college]&amp;Teams[division]&amp;Teams[year],
Teams[placing], "NA")</f>
        <v>DNF</v>
      </c>
      <c r="F385" s="1" t="str" cm="1">
        <f t="array" ref="F385">_xlfn.XLOOKUP(Table2[[#This Row],[college]]&amp;Table2[[#This Row],[division]]&amp;Table2[[#This Row],[year]],
Teams[college]&amp;Teams[division]&amp;Teams[year],
Teams[finish], "NA")</f>
        <v>NA</v>
      </c>
    </row>
    <row r="386" spans="1:6" x14ac:dyDescent="0.3">
      <c r="A386" t="s">
        <v>847</v>
      </c>
      <c r="B386" t="s">
        <v>250</v>
      </c>
      <c r="C386">
        <v>3</v>
      </c>
      <c r="D386">
        <v>2026</v>
      </c>
      <c r="E386" cm="1">
        <f t="array" ref="E386">_xlfn.XLOOKUP(Table2[[#This Row],[college]]&amp;Table2[[#This Row],[division]]&amp;Table2[[#This Row],[year]],
Teams[college]&amp;Teams[division]&amp;Teams[year],
Teams[placing], "NA")</f>
        <v>0</v>
      </c>
      <c r="F386" s="1" cm="1">
        <f t="array" ref="F386">_xlfn.XLOOKUP(Table2[[#This Row],[college]]&amp;Table2[[#This Row],[division]]&amp;Table2[[#This Row],[year]],
Teams[college]&amp;Teams[division]&amp;Teams[year],
Teams[finish], "NA")</f>
        <v>0</v>
      </c>
    </row>
    <row r="387" spans="1:6" x14ac:dyDescent="0.3">
      <c r="A387" t="s">
        <v>562</v>
      </c>
      <c r="B387" t="s">
        <v>15</v>
      </c>
      <c r="C387">
        <v>7</v>
      </c>
      <c r="D387">
        <v>2023</v>
      </c>
      <c r="E387" cm="1">
        <f t="array" ref="E387">_xlfn.XLOOKUP(Table2[[#This Row],[college]]&amp;Table2[[#This Row],[division]]&amp;Table2[[#This Row],[year]],
Teams[college]&amp;Teams[division]&amp;Teams[year],
Teams[placing], "NA")</f>
        <v>1</v>
      </c>
      <c r="F387" s="1" cm="1">
        <f t="array" ref="F387">_xlfn.XLOOKUP(Table2[[#This Row],[college]]&amp;Table2[[#This Row],[division]]&amp;Table2[[#This Row],[year]],
Teams[college]&amp;Teams[division]&amp;Teams[year],
Teams[finish], "NA")</f>
        <v>0.50763888888888886</v>
      </c>
    </row>
    <row r="388" spans="1:6" x14ac:dyDescent="0.3">
      <c r="A388" t="s">
        <v>724</v>
      </c>
      <c r="B388" t="s">
        <v>137</v>
      </c>
      <c r="C388">
        <v>1</v>
      </c>
      <c r="D388">
        <v>2022</v>
      </c>
      <c r="E388" cm="1">
        <f t="array" ref="E388">_xlfn.XLOOKUP(Table2[[#This Row],[college]]&amp;Table2[[#This Row],[division]]&amp;Table2[[#This Row],[year]],
Teams[college]&amp;Teams[division]&amp;Teams[year],
Teams[placing], "NA")</f>
        <v>4</v>
      </c>
      <c r="F388" s="1" cm="1">
        <f t="array" ref="F388">_xlfn.XLOOKUP(Table2[[#This Row],[college]]&amp;Table2[[#This Row],[division]]&amp;Table2[[#This Row],[year]],
Teams[college]&amp;Teams[division]&amp;Teams[year],
Teams[finish], "NA")</f>
        <v>0.60763888888888884</v>
      </c>
    </row>
    <row r="389" spans="1:6" x14ac:dyDescent="0.3">
      <c r="A389" t="s">
        <v>261</v>
      </c>
      <c r="B389" t="s">
        <v>10</v>
      </c>
      <c r="C389">
        <v>6</v>
      </c>
      <c r="D389">
        <v>2025</v>
      </c>
      <c r="E389" cm="1">
        <f t="array" ref="E389">_xlfn.XLOOKUP(Table2[[#This Row],[college]]&amp;Table2[[#This Row],[division]]&amp;Table2[[#This Row],[year]],
Teams[college]&amp;Teams[division]&amp;Teams[year],
Teams[placing], "NA")</f>
        <v>3</v>
      </c>
      <c r="F389" s="1" cm="1">
        <f t="array" ref="F389">_xlfn.XLOOKUP(Table2[[#This Row],[college]]&amp;Table2[[#This Row],[division]]&amp;Table2[[#This Row],[year]],
Teams[college]&amp;Teams[division]&amp;Teams[year],
Teams[finish], "NA")</f>
        <v>0.51597222222222228</v>
      </c>
    </row>
    <row r="390" spans="1:6" x14ac:dyDescent="0.3">
      <c r="A390" t="s">
        <v>261</v>
      </c>
      <c r="B390" t="s">
        <v>10</v>
      </c>
      <c r="C390">
        <v>5</v>
      </c>
      <c r="D390">
        <v>2024</v>
      </c>
      <c r="E390" cm="1">
        <f t="array" ref="E390">_xlfn.XLOOKUP(Table2[[#This Row],[college]]&amp;Table2[[#This Row],[division]]&amp;Table2[[#This Row],[year]],
Teams[college]&amp;Teams[division]&amp;Teams[year],
Teams[placing], "NA")</f>
        <v>5</v>
      </c>
      <c r="F390" s="1" cm="1">
        <f t="array" ref="F390">_xlfn.XLOOKUP(Table2[[#This Row],[college]]&amp;Table2[[#This Row],[division]]&amp;Table2[[#This Row],[year]],
Teams[college]&amp;Teams[division]&amp;Teams[year],
Teams[finish], "NA")</f>
        <v>0.61805555555555558</v>
      </c>
    </row>
    <row r="391" spans="1:6" x14ac:dyDescent="0.3">
      <c r="A391" t="s">
        <v>128</v>
      </c>
      <c r="B391" t="s">
        <v>123</v>
      </c>
      <c r="C391">
        <v>6</v>
      </c>
      <c r="D391">
        <v>2025</v>
      </c>
      <c r="E391" cm="1">
        <f t="array" ref="E391">_xlfn.XLOOKUP(Table2[[#This Row],[college]]&amp;Table2[[#This Row],[division]]&amp;Table2[[#This Row],[year]],
Teams[college]&amp;Teams[division]&amp;Teams[year],
Teams[placing], "NA")</f>
        <v>2</v>
      </c>
      <c r="F391" s="1" cm="1">
        <f t="array" ref="F391">_xlfn.XLOOKUP(Table2[[#This Row],[college]]&amp;Table2[[#This Row],[division]]&amp;Table2[[#This Row],[year]],
Teams[college]&amp;Teams[division]&amp;Teams[year],
Teams[finish], "NA")</f>
        <v>0.51111111111111107</v>
      </c>
    </row>
    <row r="392" spans="1:6" x14ac:dyDescent="0.3">
      <c r="A392" t="s">
        <v>488</v>
      </c>
      <c r="B392" t="s">
        <v>10</v>
      </c>
      <c r="C392">
        <v>7</v>
      </c>
      <c r="D392">
        <v>2022</v>
      </c>
      <c r="E392" cm="1">
        <f t="array" ref="E392">_xlfn.XLOOKUP(Table2[[#This Row],[college]]&amp;Table2[[#This Row],[division]]&amp;Table2[[#This Row],[year]],
Teams[college]&amp;Teams[division]&amp;Teams[year],
Teams[placing], "NA")</f>
        <v>6</v>
      </c>
      <c r="F392" s="1" cm="1">
        <f t="array" ref="F392">_xlfn.XLOOKUP(Table2[[#This Row],[college]]&amp;Table2[[#This Row],[division]]&amp;Table2[[#This Row],[year]],
Teams[college]&amp;Teams[division]&amp;Teams[year],
Teams[finish], "NA")</f>
        <v>0.47499999999999998</v>
      </c>
    </row>
    <row r="393" spans="1:6" x14ac:dyDescent="0.3">
      <c r="A393" t="s">
        <v>488</v>
      </c>
      <c r="B393" t="s">
        <v>10</v>
      </c>
      <c r="C393">
        <v>7</v>
      </c>
      <c r="D393">
        <v>2024</v>
      </c>
      <c r="E393" cm="1">
        <f t="array" ref="E393">_xlfn.XLOOKUP(Table2[[#This Row],[college]]&amp;Table2[[#This Row],[division]]&amp;Table2[[#This Row],[year]],
Teams[college]&amp;Teams[division]&amp;Teams[year],
Teams[placing], "NA")</f>
        <v>5</v>
      </c>
      <c r="F393" s="1" cm="1">
        <f t="array" ref="F393">_xlfn.XLOOKUP(Table2[[#This Row],[college]]&amp;Table2[[#This Row],[division]]&amp;Table2[[#This Row],[year]],
Teams[college]&amp;Teams[division]&amp;Teams[year],
Teams[finish], "NA")</f>
        <v>0.69374999999999998</v>
      </c>
    </row>
    <row r="394" spans="1:6" x14ac:dyDescent="0.3">
      <c r="A394" t="s">
        <v>488</v>
      </c>
      <c r="B394" t="s">
        <v>10</v>
      </c>
      <c r="C394">
        <v>7</v>
      </c>
      <c r="D394">
        <v>2023</v>
      </c>
      <c r="E394" t="str" cm="1">
        <f t="array" ref="E394">_xlfn.XLOOKUP(Table2[[#This Row],[college]]&amp;Table2[[#This Row],[division]]&amp;Table2[[#This Row],[year]],
Teams[college]&amp;Teams[division]&amp;Teams[year],
Teams[placing], "NA")</f>
        <v>DNF</v>
      </c>
      <c r="F394" s="1" t="str" cm="1">
        <f t="array" ref="F394">_xlfn.XLOOKUP(Table2[[#This Row],[college]]&amp;Table2[[#This Row],[division]]&amp;Table2[[#This Row],[year]],
Teams[college]&amp;Teams[division]&amp;Teams[year],
Teams[finish], "NA")</f>
        <v>NA</v>
      </c>
    </row>
    <row r="395" spans="1:6" x14ac:dyDescent="0.3">
      <c r="A395" t="s">
        <v>439</v>
      </c>
      <c r="B395" t="s">
        <v>137</v>
      </c>
      <c r="C395">
        <v>2</v>
      </c>
      <c r="D395">
        <v>2024</v>
      </c>
      <c r="E395" cm="1">
        <f t="array" ref="E395">_xlfn.XLOOKUP(Table2[[#This Row],[college]]&amp;Table2[[#This Row],[division]]&amp;Table2[[#This Row],[year]],
Teams[college]&amp;Teams[division]&amp;Teams[year],
Teams[placing], "NA")</f>
        <v>3</v>
      </c>
      <c r="F395" s="1" cm="1">
        <f t="array" ref="F395">_xlfn.XLOOKUP(Table2[[#This Row],[college]]&amp;Table2[[#This Row],[division]]&amp;Table2[[#This Row],[year]],
Teams[college]&amp;Teams[division]&amp;Teams[year],
Teams[finish], "NA")</f>
        <v>0.52916666666666667</v>
      </c>
    </row>
    <row r="396" spans="1:6" x14ac:dyDescent="0.3">
      <c r="A396" t="s">
        <v>439</v>
      </c>
      <c r="B396" t="s">
        <v>137</v>
      </c>
      <c r="C396">
        <v>3</v>
      </c>
      <c r="D396">
        <v>2023</v>
      </c>
      <c r="E396" cm="1">
        <f t="array" ref="E396">_xlfn.XLOOKUP(Table2[[#This Row],[college]]&amp;Table2[[#This Row],[division]]&amp;Table2[[#This Row],[year]],
Teams[college]&amp;Teams[division]&amp;Teams[year],
Teams[placing], "NA")</f>
        <v>4</v>
      </c>
      <c r="F396" s="1" cm="1">
        <f t="array" ref="F396">_xlfn.XLOOKUP(Table2[[#This Row],[college]]&amp;Table2[[#This Row],[division]]&amp;Table2[[#This Row],[year]],
Teams[college]&amp;Teams[division]&amp;Teams[year],
Teams[finish], "NA")</f>
        <v>0.65208333333333335</v>
      </c>
    </row>
    <row r="397" spans="1:6" x14ac:dyDescent="0.3">
      <c r="A397" t="s">
        <v>968</v>
      </c>
      <c r="B397" t="s">
        <v>787</v>
      </c>
      <c r="C397">
        <v>7</v>
      </c>
      <c r="D397">
        <v>2026</v>
      </c>
      <c r="E397" t="str" cm="1">
        <f t="array" ref="E397">_xlfn.XLOOKUP(Table2[[#This Row],[college]]&amp;Table2[[#This Row],[division]]&amp;Table2[[#This Row],[year]],
Teams[college]&amp;Teams[division]&amp;Teams[year],
Teams[placing], "NA")</f>
        <v>NA</v>
      </c>
      <c r="F397" s="1" t="str" cm="1">
        <f t="array" ref="F397">_xlfn.XLOOKUP(Table2[[#This Row],[college]]&amp;Table2[[#This Row],[division]]&amp;Table2[[#This Row],[year]],
Teams[college]&amp;Teams[division]&amp;Teams[year],
Teams[finish], "NA")</f>
        <v>NA</v>
      </c>
    </row>
    <row r="398" spans="1:6" x14ac:dyDescent="0.3">
      <c r="A398" t="s">
        <v>181</v>
      </c>
      <c r="B398" t="s">
        <v>15</v>
      </c>
      <c r="C398">
        <v>2</v>
      </c>
      <c r="D398">
        <v>2025</v>
      </c>
      <c r="E398" cm="1">
        <f t="array" ref="E398">_xlfn.XLOOKUP(Table2[[#This Row],[college]]&amp;Table2[[#This Row],[division]]&amp;Table2[[#This Row],[year]],
Teams[college]&amp;Teams[division]&amp;Teams[year],
Teams[placing], "NA")</f>
        <v>5</v>
      </c>
      <c r="F398" s="1" cm="1">
        <f t="array" ref="F398">_xlfn.XLOOKUP(Table2[[#This Row],[college]]&amp;Table2[[#This Row],[division]]&amp;Table2[[#This Row],[year]],
Teams[college]&amp;Teams[division]&amp;Teams[year],
Teams[finish], "NA")</f>
        <v>0.59027777777777779</v>
      </c>
    </row>
    <row r="399" spans="1:6" x14ac:dyDescent="0.3">
      <c r="A399" t="s">
        <v>181</v>
      </c>
      <c r="B399" t="s">
        <v>15</v>
      </c>
      <c r="C399">
        <v>1</v>
      </c>
      <c r="D399">
        <v>2026</v>
      </c>
      <c r="E399" cm="1">
        <f t="array" ref="E399">_xlfn.XLOOKUP(Table2[[#This Row],[college]]&amp;Table2[[#This Row],[division]]&amp;Table2[[#This Row],[year]],
Teams[college]&amp;Teams[division]&amp;Teams[year],
Teams[placing], "NA")</f>
        <v>0</v>
      </c>
      <c r="F399" s="1" cm="1">
        <f t="array" ref="F399">_xlfn.XLOOKUP(Table2[[#This Row],[college]]&amp;Table2[[#This Row],[division]]&amp;Table2[[#This Row],[year]],
Teams[college]&amp;Teams[division]&amp;Teams[year],
Teams[finish], "NA")</f>
        <v>0</v>
      </c>
    </row>
    <row r="400" spans="1:6" x14ac:dyDescent="0.3">
      <c r="A400" t="s">
        <v>182</v>
      </c>
      <c r="B400" t="s">
        <v>132</v>
      </c>
      <c r="C400">
        <v>4</v>
      </c>
      <c r="D400">
        <v>2025</v>
      </c>
      <c r="E400" cm="1">
        <f t="array" ref="E400">_xlfn.XLOOKUP(Table2[[#This Row],[college]]&amp;Table2[[#This Row],[division]]&amp;Table2[[#This Row],[year]],
Teams[college]&amp;Teams[division]&amp;Teams[year],
Teams[placing], "NA")</f>
        <v>5</v>
      </c>
      <c r="F400" s="1" cm="1">
        <f t="array" ref="F400">_xlfn.XLOOKUP(Table2[[#This Row],[college]]&amp;Table2[[#This Row],[division]]&amp;Table2[[#This Row],[year]],
Teams[college]&amp;Teams[division]&amp;Teams[year],
Teams[finish], "NA")</f>
        <v>0.63680555555555551</v>
      </c>
    </row>
    <row r="401" spans="1:6" x14ac:dyDescent="0.3">
      <c r="A401" t="s">
        <v>182</v>
      </c>
      <c r="B401" t="s">
        <v>132</v>
      </c>
      <c r="C401">
        <v>7</v>
      </c>
      <c r="D401">
        <v>2024</v>
      </c>
      <c r="E401" cm="1">
        <f t="array" ref="E401">_xlfn.XLOOKUP(Table2[[#This Row],[college]]&amp;Table2[[#This Row],[division]]&amp;Table2[[#This Row],[year]],
Teams[college]&amp;Teams[division]&amp;Teams[year],
Teams[placing], "NA")</f>
        <v>3</v>
      </c>
      <c r="F401" s="1" cm="1">
        <f t="array" ref="F401">_xlfn.XLOOKUP(Table2[[#This Row],[college]]&amp;Table2[[#This Row],[division]]&amp;Table2[[#This Row],[year]],
Teams[college]&amp;Teams[division]&amp;Teams[year],
Teams[finish], "NA")</f>
        <v>0.64166666666666672</v>
      </c>
    </row>
    <row r="402" spans="1:6" x14ac:dyDescent="0.3">
      <c r="A402" t="s">
        <v>582</v>
      </c>
      <c r="B402" t="s">
        <v>250</v>
      </c>
      <c r="C402">
        <v>4</v>
      </c>
      <c r="D402">
        <v>2023</v>
      </c>
      <c r="E402" t="str" cm="1">
        <f t="array" ref="E402">_xlfn.XLOOKUP(Table2[[#This Row],[college]]&amp;Table2[[#This Row],[division]]&amp;Table2[[#This Row],[year]],
Teams[college]&amp;Teams[division]&amp;Teams[year],
Teams[placing], "NA")</f>
        <v>DNF</v>
      </c>
      <c r="F402" s="1" t="str" cm="1">
        <f t="array" ref="F402">_xlfn.XLOOKUP(Table2[[#This Row],[college]]&amp;Table2[[#This Row],[division]]&amp;Table2[[#This Row],[year]],
Teams[college]&amp;Teams[division]&amp;Teams[year],
Teams[finish], "NA")</f>
        <v>NA</v>
      </c>
    </row>
    <row r="403" spans="1:6" x14ac:dyDescent="0.3">
      <c r="A403" t="s">
        <v>296</v>
      </c>
      <c r="B403" t="s">
        <v>266</v>
      </c>
      <c r="C403">
        <v>7</v>
      </c>
      <c r="D403">
        <v>2025</v>
      </c>
      <c r="E403" cm="1">
        <f t="array" ref="E403">_xlfn.XLOOKUP(Table2[[#This Row],[college]]&amp;Table2[[#This Row],[division]]&amp;Table2[[#This Row],[year]],
Teams[college]&amp;Teams[division]&amp;Teams[year],
Teams[placing], "NA")</f>
        <v>6</v>
      </c>
      <c r="F403" s="1" cm="1">
        <f t="array" ref="F403">_xlfn.XLOOKUP(Table2[[#This Row],[college]]&amp;Table2[[#This Row],[division]]&amp;Table2[[#This Row],[year]],
Teams[college]&amp;Teams[division]&amp;Teams[year],
Teams[finish], "NA")</f>
        <v>0.51597222222222228</v>
      </c>
    </row>
    <row r="404" spans="1:6" x14ac:dyDescent="0.3">
      <c r="A404" t="s">
        <v>296</v>
      </c>
      <c r="B404" t="s">
        <v>266</v>
      </c>
      <c r="C404">
        <v>5</v>
      </c>
      <c r="D404">
        <v>2024</v>
      </c>
      <c r="E404" cm="1">
        <f t="array" ref="E404">_xlfn.XLOOKUP(Table2[[#This Row],[college]]&amp;Table2[[#This Row],[division]]&amp;Table2[[#This Row],[year]],
Teams[college]&amp;Teams[division]&amp;Teams[year],
Teams[placing], "NA")</f>
        <v>9</v>
      </c>
      <c r="F404" s="1" cm="1">
        <f t="array" ref="F404">_xlfn.XLOOKUP(Table2[[#This Row],[college]]&amp;Table2[[#This Row],[division]]&amp;Table2[[#This Row],[year]],
Teams[college]&amp;Teams[division]&amp;Teams[year],
Teams[finish], "NA")</f>
        <v>0.65902777777777777</v>
      </c>
    </row>
    <row r="405" spans="1:6" x14ac:dyDescent="0.3">
      <c r="A405" t="s">
        <v>296</v>
      </c>
      <c r="B405" t="s">
        <v>266</v>
      </c>
      <c r="C405">
        <v>6</v>
      </c>
      <c r="D405">
        <v>2026</v>
      </c>
      <c r="E405" cm="1">
        <f t="array" ref="E405">_xlfn.XLOOKUP(Table2[[#This Row],[college]]&amp;Table2[[#This Row],[division]]&amp;Table2[[#This Row],[year]],
Teams[college]&amp;Teams[division]&amp;Teams[year],
Teams[placing], "NA")</f>
        <v>0</v>
      </c>
      <c r="F405" s="1" cm="1">
        <f t="array" ref="F405">_xlfn.XLOOKUP(Table2[[#This Row],[college]]&amp;Table2[[#This Row],[division]]&amp;Table2[[#This Row],[year]],
Teams[college]&amp;Teams[division]&amp;Teams[year],
Teams[finish], "NA")</f>
        <v>0</v>
      </c>
    </row>
    <row r="406" spans="1:6" x14ac:dyDescent="0.3">
      <c r="A406" t="s">
        <v>109</v>
      </c>
      <c r="B406" t="s">
        <v>48</v>
      </c>
      <c r="C406">
        <v>7</v>
      </c>
      <c r="D406">
        <v>2025</v>
      </c>
      <c r="E406" cm="1">
        <f t="array" ref="E406">_xlfn.XLOOKUP(Table2[[#This Row],[college]]&amp;Table2[[#This Row],[division]]&amp;Table2[[#This Row],[year]],
Teams[college]&amp;Teams[division]&amp;Teams[year],
Teams[placing], "NA")</f>
        <v>9</v>
      </c>
      <c r="F406" s="1" cm="1">
        <f t="array" ref="F406">_xlfn.XLOOKUP(Table2[[#This Row],[college]]&amp;Table2[[#This Row],[division]]&amp;Table2[[#This Row],[year]],
Teams[college]&amp;Teams[division]&amp;Teams[year],
Teams[finish], "NA")</f>
        <v>0.6118055555555556</v>
      </c>
    </row>
    <row r="407" spans="1:6" x14ac:dyDescent="0.3">
      <c r="A407" t="s">
        <v>109</v>
      </c>
      <c r="B407" t="s">
        <v>48</v>
      </c>
      <c r="C407">
        <v>6</v>
      </c>
      <c r="D407">
        <v>2026</v>
      </c>
      <c r="E407" cm="1">
        <f t="array" ref="E407">_xlfn.XLOOKUP(Table2[[#This Row],[college]]&amp;Table2[[#This Row],[division]]&amp;Table2[[#This Row],[year]],
Teams[college]&amp;Teams[division]&amp;Teams[year],
Teams[placing], "NA")</f>
        <v>0</v>
      </c>
      <c r="F407" s="1" cm="1">
        <f t="array" ref="F407">_xlfn.XLOOKUP(Table2[[#This Row],[college]]&amp;Table2[[#This Row],[division]]&amp;Table2[[#This Row],[year]],
Teams[college]&amp;Teams[division]&amp;Teams[year],
Teams[finish], "NA")</f>
        <v>0</v>
      </c>
    </row>
    <row r="408" spans="1:6" x14ac:dyDescent="0.3">
      <c r="A408" t="s">
        <v>908</v>
      </c>
      <c r="B408" t="s">
        <v>10</v>
      </c>
      <c r="C408">
        <v>5</v>
      </c>
      <c r="D408">
        <v>2026</v>
      </c>
      <c r="E408" cm="1">
        <f t="array" ref="E408">_xlfn.XLOOKUP(Table2[[#This Row],[college]]&amp;Table2[[#This Row],[division]]&amp;Table2[[#This Row],[year]],
Teams[college]&amp;Teams[division]&amp;Teams[year],
Teams[placing], "NA")</f>
        <v>0</v>
      </c>
      <c r="F408" s="1" cm="1">
        <f t="array" ref="F408">_xlfn.XLOOKUP(Table2[[#This Row],[college]]&amp;Table2[[#This Row],[division]]&amp;Table2[[#This Row],[year]],
Teams[college]&amp;Teams[division]&amp;Teams[year],
Teams[finish], "NA")</f>
        <v>0</v>
      </c>
    </row>
    <row r="409" spans="1:6" x14ac:dyDescent="0.3">
      <c r="A409" t="s">
        <v>119</v>
      </c>
      <c r="B409" t="s">
        <v>132</v>
      </c>
      <c r="C409">
        <v>5</v>
      </c>
      <c r="D409">
        <v>2022</v>
      </c>
      <c r="E409" cm="1">
        <f t="array" ref="E409">_xlfn.XLOOKUP(Table2[[#This Row],[college]]&amp;Table2[[#This Row],[division]]&amp;Table2[[#This Row],[year]],
Teams[college]&amp;Teams[division]&amp;Teams[year],
Teams[placing], "NA")</f>
        <v>7</v>
      </c>
      <c r="F409" s="1" cm="1">
        <f t="array" ref="F409">_xlfn.XLOOKUP(Table2[[#This Row],[college]]&amp;Table2[[#This Row],[division]]&amp;Table2[[#This Row],[year]],
Teams[college]&amp;Teams[division]&amp;Teams[year],
Teams[finish], "NA")</f>
        <v>0.63541666666666663</v>
      </c>
    </row>
    <row r="410" spans="1:6" x14ac:dyDescent="0.3">
      <c r="A410" t="s">
        <v>119</v>
      </c>
      <c r="B410" t="s">
        <v>132</v>
      </c>
      <c r="C410">
        <v>2</v>
      </c>
      <c r="D410">
        <v>2023</v>
      </c>
      <c r="E410" t="str" cm="1">
        <f t="array" ref="E410">_xlfn.XLOOKUP(Table2[[#This Row],[college]]&amp;Table2[[#This Row],[division]]&amp;Table2[[#This Row],[year]],
Teams[college]&amp;Teams[division]&amp;Teams[year],
Teams[placing], "NA")</f>
        <v>DNF</v>
      </c>
      <c r="F410" s="1" t="str" cm="1">
        <f t="array" ref="F410">_xlfn.XLOOKUP(Table2[[#This Row],[college]]&amp;Table2[[#This Row],[division]]&amp;Table2[[#This Row],[year]],
Teams[college]&amp;Teams[division]&amp;Teams[year],
Teams[finish], "NA")</f>
        <v>NA</v>
      </c>
    </row>
    <row r="411" spans="1:6" x14ac:dyDescent="0.3">
      <c r="A411" t="s">
        <v>119</v>
      </c>
      <c r="B411" t="s">
        <v>5</v>
      </c>
      <c r="C411">
        <v>7</v>
      </c>
      <c r="D411">
        <v>2025</v>
      </c>
      <c r="E411" cm="1">
        <f t="array" ref="E411">_xlfn.XLOOKUP(Table2[[#This Row],[college]]&amp;Table2[[#This Row],[division]]&amp;Table2[[#This Row],[year]],
Teams[college]&amp;Teams[division]&amp;Teams[year],
Teams[placing], "NA")</f>
        <v>7</v>
      </c>
      <c r="F411" s="1" cm="1">
        <f t="array" ref="F411">_xlfn.XLOOKUP(Table2[[#This Row],[college]]&amp;Table2[[#This Row],[division]]&amp;Table2[[#This Row],[year]],
Teams[college]&amp;Teams[division]&amp;Teams[year],
Teams[finish], "NA")</f>
        <v>0.51944444444444449</v>
      </c>
    </row>
    <row r="412" spans="1:6" x14ac:dyDescent="0.3">
      <c r="A412" t="s">
        <v>159</v>
      </c>
      <c r="B412" t="s">
        <v>137</v>
      </c>
      <c r="C412">
        <v>2</v>
      </c>
      <c r="D412">
        <v>2025</v>
      </c>
      <c r="E412" cm="1">
        <f t="array" ref="E412">_xlfn.XLOOKUP(Table2[[#This Row],[college]]&amp;Table2[[#This Row],[division]]&amp;Table2[[#This Row],[year]],
Teams[college]&amp;Teams[division]&amp;Teams[year],
Teams[placing], "NA")</f>
        <v>6</v>
      </c>
      <c r="F412" s="1" cm="1">
        <f t="array" ref="F412">_xlfn.XLOOKUP(Table2[[#This Row],[college]]&amp;Table2[[#This Row],[division]]&amp;Table2[[#This Row],[year]],
Teams[college]&amp;Teams[division]&amp;Teams[year],
Teams[finish], "NA")</f>
        <v>0.65555555555555556</v>
      </c>
    </row>
    <row r="413" spans="1:6" x14ac:dyDescent="0.3">
      <c r="A413" t="s">
        <v>159</v>
      </c>
      <c r="B413" t="s">
        <v>787</v>
      </c>
      <c r="C413">
        <v>1</v>
      </c>
      <c r="D413">
        <v>2026</v>
      </c>
      <c r="E413" t="str" cm="1">
        <f t="array" ref="E413">_xlfn.XLOOKUP(Table2[[#This Row],[college]]&amp;Table2[[#This Row],[division]]&amp;Table2[[#This Row],[year]],
Teams[college]&amp;Teams[division]&amp;Teams[year],
Teams[placing], "NA")</f>
        <v>NA</v>
      </c>
      <c r="F413" s="1" t="str" cm="1">
        <f t="array" ref="F413">_xlfn.XLOOKUP(Table2[[#This Row],[college]]&amp;Table2[[#This Row],[division]]&amp;Table2[[#This Row],[year]],
Teams[college]&amp;Teams[division]&amp;Teams[year],
Teams[finish], "NA")</f>
        <v>NA</v>
      </c>
    </row>
    <row r="414" spans="1:6" x14ac:dyDescent="0.3">
      <c r="A414" t="s">
        <v>196</v>
      </c>
      <c r="B414" t="s">
        <v>137</v>
      </c>
      <c r="C414">
        <v>7</v>
      </c>
      <c r="D414">
        <v>2025</v>
      </c>
      <c r="E414" cm="1">
        <f t="array" ref="E414">_xlfn.XLOOKUP(Table2[[#This Row],[college]]&amp;Table2[[#This Row],[division]]&amp;Table2[[#This Row],[year]],
Teams[college]&amp;Teams[division]&amp;Teams[year],
Teams[placing], "NA")</f>
        <v>8</v>
      </c>
      <c r="F414" s="1" cm="1">
        <f t="array" ref="F414">_xlfn.XLOOKUP(Table2[[#This Row],[college]]&amp;Table2[[#This Row],[division]]&amp;Table2[[#This Row],[year]],
Teams[college]&amp;Teams[division]&amp;Teams[year],
Teams[finish], "NA")</f>
        <v>0.55277777777777781</v>
      </c>
    </row>
    <row r="415" spans="1:6" x14ac:dyDescent="0.3">
      <c r="A415" t="s">
        <v>40</v>
      </c>
      <c r="B415" t="s">
        <v>15</v>
      </c>
      <c r="C415">
        <v>5</v>
      </c>
      <c r="D415">
        <v>2025</v>
      </c>
      <c r="E415" cm="1">
        <f t="array" ref="E415">_xlfn.XLOOKUP(Table2[[#This Row],[college]]&amp;Table2[[#This Row],[division]]&amp;Table2[[#This Row],[year]],
Teams[college]&amp;Teams[division]&amp;Teams[year],
Teams[placing], "NA")</f>
        <v>6</v>
      </c>
      <c r="F415" s="1" cm="1">
        <f t="array" ref="F415">_xlfn.XLOOKUP(Table2[[#This Row],[college]]&amp;Table2[[#This Row],[division]]&amp;Table2[[#This Row],[year]],
Teams[college]&amp;Teams[division]&amp;Teams[year],
Teams[finish], "NA")</f>
        <v>0.49652777777777779</v>
      </c>
    </row>
    <row r="416" spans="1:6" x14ac:dyDescent="0.3">
      <c r="A416" t="s">
        <v>40</v>
      </c>
      <c r="B416" t="s">
        <v>15</v>
      </c>
      <c r="C416">
        <v>5</v>
      </c>
      <c r="D416">
        <v>2024</v>
      </c>
      <c r="E416" cm="1">
        <f t="array" ref="E416">_xlfn.XLOOKUP(Table2[[#This Row],[college]]&amp;Table2[[#This Row],[division]]&amp;Table2[[#This Row],[year]],
Teams[college]&amp;Teams[division]&amp;Teams[year],
Teams[placing], "NA")</f>
        <v>6</v>
      </c>
      <c r="F416" s="1" cm="1">
        <f t="array" ref="F416">_xlfn.XLOOKUP(Table2[[#This Row],[college]]&amp;Table2[[#This Row],[division]]&amp;Table2[[#This Row],[year]],
Teams[college]&amp;Teams[division]&amp;Teams[year],
Teams[finish], "NA")</f>
        <v>0.62986111111111109</v>
      </c>
    </row>
    <row r="417" spans="1:6" x14ac:dyDescent="0.3">
      <c r="A417" t="s">
        <v>567</v>
      </c>
      <c r="B417" t="s">
        <v>123</v>
      </c>
      <c r="C417">
        <v>6</v>
      </c>
      <c r="D417">
        <v>2023</v>
      </c>
      <c r="E417" cm="1">
        <f t="array" ref="E417">_xlfn.XLOOKUP(Table2[[#This Row],[college]]&amp;Table2[[#This Row],[division]]&amp;Table2[[#This Row],[year]],
Teams[college]&amp;Teams[division]&amp;Teams[year],
Teams[placing], "NA")</f>
        <v>1</v>
      </c>
      <c r="F417" s="1" cm="1">
        <f t="array" ref="F417">_xlfn.XLOOKUP(Table2[[#This Row],[college]]&amp;Table2[[#This Row],[division]]&amp;Table2[[#This Row],[year]],
Teams[college]&amp;Teams[division]&amp;Teams[year],
Teams[finish], "NA")</f>
        <v>0.55208333333333337</v>
      </c>
    </row>
    <row r="418" spans="1:6" x14ac:dyDescent="0.3">
      <c r="A418" t="s">
        <v>714</v>
      </c>
      <c r="B418" t="s">
        <v>132</v>
      </c>
      <c r="C418">
        <v>6</v>
      </c>
      <c r="D418">
        <v>2022</v>
      </c>
      <c r="E418" cm="1">
        <f t="array" ref="E418">_xlfn.XLOOKUP(Table2[[#This Row],[college]]&amp;Table2[[#This Row],[division]]&amp;Table2[[#This Row],[year]],
Teams[college]&amp;Teams[division]&amp;Teams[year],
Teams[placing], "NA")</f>
        <v>8</v>
      </c>
      <c r="F418" s="1" cm="1">
        <f t="array" ref="F418">_xlfn.XLOOKUP(Table2[[#This Row],[college]]&amp;Table2[[#This Row],[division]]&amp;Table2[[#This Row],[year]],
Teams[college]&amp;Teams[division]&amp;Teams[year],
Teams[finish], "NA")</f>
        <v>0.66319444444444442</v>
      </c>
    </row>
    <row r="419" spans="1:6" x14ac:dyDescent="0.3">
      <c r="A419" t="s">
        <v>861</v>
      </c>
      <c r="B419" t="s">
        <v>266</v>
      </c>
      <c r="C419">
        <v>4</v>
      </c>
      <c r="D419">
        <v>2026</v>
      </c>
      <c r="E419" cm="1">
        <f t="array" ref="E419">_xlfn.XLOOKUP(Table2[[#This Row],[college]]&amp;Table2[[#This Row],[division]]&amp;Table2[[#This Row],[year]],
Teams[college]&amp;Teams[division]&amp;Teams[year],
Teams[placing], "NA")</f>
        <v>0</v>
      </c>
      <c r="F419" s="1" cm="1">
        <f t="array" ref="F419">_xlfn.XLOOKUP(Table2[[#This Row],[college]]&amp;Table2[[#This Row],[division]]&amp;Table2[[#This Row],[year]],
Teams[college]&amp;Teams[division]&amp;Teams[year],
Teams[finish], "NA")</f>
        <v>0</v>
      </c>
    </row>
    <row r="420" spans="1:6" x14ac:dyDescent="0.3">
      <c r="A420" t="s">
        <v>711</v>
      </c>
      <c r="B420" t="s">
        <v>15</v>
      </c>
      <c r="C420">
        <v>5</v>
      </c>
      <c r="D420">
        <v>2022</v>
      </c>
      <c r="E420" cm="1">
        <f t="array" ref="E420">_xlfn.XLOOKUP(Table2[[#This Row],[college]]&amp;Table2[[#This Row],[division]]&amp;Table2[[#This Row],[year]],
Teams[college]&amp;Teams[division]&amp;Teams[year],
Teams[placing], "NA")</f>
        <v>2</v>
      </c>
      <c r="F420" s="1" cm="1">
        <f t="array" ref="F420">_xlfn.XLOOKUP(Table2[[#This Row],[college]]&amp;Table2[[#This Row],[division]]&amp;Table2[[#This Row],[year]],
Teams[college]&amp;Teams[division]&amp;Teams[year],
Teams[finish], "NA")</f>
        <v>0.44722222222222219</v>
      </c>
    </row>
    <row r="421" spans="1:6" x14ac:dyDescent="0.3">
      <c r="A421" t="s">
        <v>929</v>
      </c>
      <c r="B421" t="s">
        <v>787</v>
      </c>
      <c r="C421">
        <v>6</v>
      </c>
      <c r="D421">
        <v>2026</v>
      </c>
      <c r="E421" t="str" cm="1">
        <f t="array" ref="E421">_xlfn.XLOOKUP(Table2[[#This Row],[college]]&amp;Table2[[#This Row],[division]]&amp;Table2[[#This Row],[year]],
Teams[college]&amp;Teams[division]&amp;Teams[year],
Teams[placing], "NA")</f>
        <v>NA</v>
      </c>
      <c r="F421" s="1" t="str" cm="1">
        <f t="array" ref="F421">_xlfn.XLOOKUP(Table2[[#This Row],[college]]&amp;Table2[[#This Row],[division]]&amp;Table2[[#This Row],[year]],
Teams[college]&amp;Teams[division]&amp;Teams[year],
Teams[finish], "NA")</f>
        <v>NA</v>
      </c>
    </row>
    <row r="422" spans="1:6" x14ac:dyDescent="0.3">
      <c r="A422" t="s">
        <v>424</v>
      </c>
      <c r="B422" t="s">
        <v>10</v>
      </c>
      <c r="C422">
        <v>6</v>
      </c>
      <c r="D422">
        <v>2024</v>
      </c>
      <c r="E422" t="str" cm="1">
        <f t="array" ref="E422">_xlfn.XLOOKUP(Table2[[#This Row],[college]]&amp;Table2[[#This Row],[division]]&amp;Table2[[#This Row],[year]],
Teams[college]&amp;Teams[division]&amp;Teams[year],
Teams[placing], "NA")</f>
        <v>DNF</v>
      </c>
      <c r="F422" s="1" t="str" cm="1">
        <f t="array" ref="F422">_xlfn.XLOOKUP(Table2[[#This Row],[college]]&amp;Table2[[#This Row],[division]]&amp;Table2[[#This Row],[year]],
Teams[college]&amp;Teams[division]&amp;Teams[year],
Teams[finish], "NA")</f>
        <v>NA</v>
      </c>
    </row>
    <row r="423" spans="1:6" x14ac:dyDescent="0.3">
      <c r="A423" t="s">
        <v>339</v>
      </c>
      <c r="B423" t="s">
        <v>132</v>
      </c>
      <c r="C423">
        <v>5</v>
      </c>
      <c r="D423">
        <v>2024</v>
      </c>
      <c r="E423" cm="1">
        <f t="array" ref="E423">_xlfn.XLOOKUP(Table2[[#This Row],[college]]&amp;Table2[[#This Row],[division]]&amp;Table2[[#This Row],[year]],
Teams[college]&amp;Teams[division]&amp;Teams[year],
Teams[placing], "NA")</f>
        <v>4</v>
      </c>
      <c r="F423" s="1" cm="1">
        <f t="array" ref="F423">_xlfn.XLOOKUP(Table2[[#This Row],[college]]&amp;Table2[[#This Row],[division]]&amp;Table2[[#This Row],[year]],
Teams[college]&amp;Teams[division]&amp;Teams[year],
Teams[finish], "NA")</f>
        <v>0.61250000000000004</v>
      </c>
    </row>
    <row r="424" spans="1:6" x14ac:dyDescent="0.3">
      <c r="A424" t="s">
        <v>450</v>
      </c>
      <c r="B424" t="s">
        <v>250</v>
      </c>
      <c r="C424">
        <v>6</v>
      </c>
      <c r="D424">
        <v>2024</v>
      </c>
      <c r="E424" t="str" cm="1">
        <f t="array" ref="E424">_xlfn.XLOOKUP(Table2[[#This Row],[college]]&amp;Table2[[#This Row],[division]]&amp;Table2[[#This Row],[year]],
Teams[college]&amp;Teams[division]&amp;Teams[year],
Teams[placing], "NA")</f>
        <v>DNF</v>
      </c>
      <c r="F424" s="1" t="str" cm="1">
        <f t="array" ref="F424">_xlfn.XLOOKUP(Table2[[#This Row],[college]]&amp;Table2[[#This Row],[division]]&amp;Table2[[#This Row],[year]],
Teams[college]&amp;Teams[division]&amp;Teams[year],
Teams[finish], "NA")</f>
        <v>NA</v>
      </c>
    </row>
    <row r="425" spans="1:6" x14ac:dyDescent="0.3">
      <c r="A425" t="s">
        <v>718</v>
      </c>
      <c r="B425" t="s">
        <v>15</v>
      </c>
      <c r="C425">
        <v>3</v>
      </c>
      <c r="D425">
        <v>2022</v>
      </c>
      <c r="E425" cm="1">
        <f t="array" ref="E425">_xlfn.XLOOKUP(Table2[[#This Row],[college]]&amp;Table2[[#This Row],[division]]&amp;Table2[[#This Row],[year]],
Teams[college]&amp;Teams[division]&amp;Teams[year],
Teams[placing], "NA")</f>
        <v>2</v>
      </c>
      <c r="F425" s="1" cm="1">
        <f t="array" ref="F425">_xlfn.XLOOKUP(Table2[[#This Row],[college]]&amp;Table2[[#This Row],[division]]&amp;Table2[[#This Row],[year]],
Teams[college]&amp;Teams[division]&amp;Teams[year],
Teams[finish], "NA")</f>
        <v>0.41458333333333336</v>
      </c>
    </row>
    <row r="426" spans="1:6" x14ac:dyDescent="0.3">
      <c r="A426" t="s">
        <v>149</v>
      </c>
      <c r="B426" t="s">
        <v>132</v>
      </c>
      <c r="C426">
        <v>2</v>
      </c>
      <c r="D426">
        <v>2025</v>
      </c>
      <c r="E426" cm="1">
        <f t="array" ref="E426">_xlfn.XLOOKUP(Table2[[#This Row],[college]]&amp;Table2[[#This Row],[division]]&amp;Table2[[#This Row],[year]],
Teams[college]&amp;Teams[division]&amp;Teams[year],
Teams[placing], "NA")</f>
        <v>2</v>
      </c>
      <c r="F426" s="1" cm="1">
        <f t="array" ref="F426">_xlfn.XLOOKUP(Table2[[#This Row],[college]]&amp;Table2[[#This Row],[division]]&amp;Table2[[#This Row],[year]],
Teams[college]&amp;Teams[division]&amp;Teams[year],
Teams[finish], "NA")</f>
        <v>0.53541666666666665</v>
      </c>
    </row>
    <row r="427" spans="1:6" x14ac:dyDescent="0.3">
      <c r="A427" t="s">
        <v>149</v>
      </c>
      <c r="B427" t="s">
        <v>132</v>
      </c>
      <c r="C427">
        <v>4</v>
      </c>
      <c r="D427">
        <v>2026</v>
      </c>
      <c r="E427" cm="1">
        <f t="array" ref="E427">_xlfn.XLOOKUP(Table2[[#This Row],[college]]&amp;Table2[[#This Row],[division]]&amp;Table2[[#This Row],[year]],
Teams[college]&amp;Teams[division]&amp;Teams[year],
Teams[placing], "NA")</f>
        <v>0</v>
      </c>
      <c r="F427" s="1" cm="1">
        <f t="array" ref="F427">_xlfn.XLOOKUP(Table2[[#This Row],[college]]&amp;Table2[[#This Row],[division]]&amp;Table2[[#This Row],[year]],
Teams[college]&amp;Teams[division]&amp;Teams[year],
Teams[finish], "NA")</f>
        <v>0</v>
      </c>
    </row>
    <row r="428" spans="1:6" x14ac:dyDescent="0.3">
      <c r="A428" t="s">
        <v>96</v>
      </c>
      <c r="B428" t="s">
        <v>123</v>
      </c>
      <c r="C428">
        <v>7</v>
      </c>
      <c r="D428">
        <v>2023</v>
      </c>
      <c r="E428" cm="1">
        <f t="array" ref="E428">_xlfn.XLOOKUP(Table2[[#This Row],[college]]&amp;Table2[[#This Row],[division]]&amp;Table2[[#This Row],[year]],
Teams[college]&amp;Teams[division]&amp;Teams[year],
Teams[placing], "NA")</f>
        <v>5</v>
      </c>
      <c r="F428" s="1" cm="1">
        <f t="array" ref="F428">_xlfn.XLOOKUP(Table2[[#This Row],[college]]&amp;Table2[[#This Row],[division]]&amp;Table2[[#This Row],[year]],
Teams[college]&amp;Teams[division]&amp;Teams[year],
Teams[finish], "NA")</f>
        <v>0.57777777777777772</v>
      </c>
    </row>
    <row r="429" spans="1:6" x14ac:dyDescent="0.3">
      <c r="A429" t="s">
        <v>96</v>
      </c>
      <c r="B429" t="s">
        <v>756</v>
      </c>
      <c r="C429">
        <v>6</v>
      </c>
      <c r="D429">
        <v>2025</v>
      </c>
      <c r="E429" t="str" cm="1">
        <f t="array" ref="E429">_xlfn.XLOOKUP(Table2[[#This Row],[college]]&amp;Table2[[#This Row],[division]]&amp;Table2[[#This Row],[year]],
Teams[college]&amp;Teams[division]&amp;Teams[year],
Teams[placing], "NA")</f>
        <v>NA</v>
      </c>
      <c r="F429" s="1" cm="1">
        <f t="array" ref="F429">_xlfn.XLOOKUP(Table2[[#This Row],[college]]&amp;Table2[[#This Row],[division]]&amp;Table2[[#This Row],[year]],
Teams[college]&amp;Teams[division]&amp;Teams[year],
Teams[finish], "NA")</f>
        <v>0.63611111111111107</v>
      </c>
    </row>
    <row r="430" spans="1:6" x14ac:dyDescent="0.3">
      <c r="A430" t="s">
        <v>608</v>
      </c>
      <c r="B430" t="s">
        <v>250</v>
      </c>
      <c r="C430">
        <v>7</v>
      </c>
      <c r="D430">
        <v>2023</v>
      </c>
      <c r="E430" cm="1">
        <f t="array" ref="E430">_xlfn.XLOOKUP(Table2[[#This Row],[college]]&amp;Table2[[#This Row],[division]]&amp;Table2[[#This Row],[year]],
Teams[college]&amp;Teams[division]&amp;Teams[year],
Teams[placing], "NA")</f>
        <v>10</v>
      </c>
      <c r="F430" s="1" cm="1">
        <f t="array" ref="F430">_xlfn.XLOOKUP(Table2[[#This Row],[college]]&amp;Table2[[#This Row],[division]]&amp;Table2[[#This Row],[year]],
Teams[college]&amp;Teams[division]&amp;Teams[year],
Teams[finish], "NA")</f>
        <v>0.6743055555555556</v>
      </c>
    </row>
    <row r="431" spans="1:6" x14ac:dyDescent="0.3">
      <c r="A431" t="s">
        <v>869</v>
      </c>
      <c r="B431" t="s">
        <v>266</v>
      </c>
      <c r="C431">
        <v>4</v>
      </c>
      <c r="D431">
        <v>2026</v>
      </c>
      <c r="E431" cm="1">
        <f t="array" ref="E431">_xlfn.XLOOKUP(Table2[[#This Row],[college]]&amp;Table2[[#This Row],[division]]&amp;Table2[[#This Row],[year]],
Teams[college]&amp;Teams[division]&amp;Teams[year],
Teams[placing], "NA")</f>
        <v>0</v>
      </c>
      <c r="F431" s="1" cm="1">
        <f t="array" ref="F431">_xlfn.XLOOKUP(Table2[[#This Row],[college]]&amp;Table2[[#This Row],[division]]&amp;Table2[[#This Row],[year]],
Teams[college]&amp;Teams[division]&amp;Teams[year],
Teams[finish], "NA")</f>
        <v>0</v>
      </c>
    </row>
    <row r="432" spans="1:6" x14ac:dyDescent="0.3">
      <c r="A432" t="s">
        <v>28</v>
      </c>
      <c r="B432" t="s">
        <v>758</v>
      </c>
      <c r="C432">
        <v>6</v>
      </c>
      <c r="D432">
        <v>2025</v>
      </c>
      <c r="E432" t="str" cm="1">
        <f t="array" ref="E432">_xlfn.XLOOKUP(Table2[[#This Row],[college]]&amp;Table2[[#This Row],[division]]&amp;Table2[[#This Row],[year]],
Teams[college]&amp;Teams[division]&amp;Teams[year],
Teams[placing], "NA")</f>
        <v>NA</v>
      </c>
      <c r="F432" s="1" cm="1">
        <f t="array" ref="F432">_xlfn.XLOOKUP(Table2[[#This Row],[college]]&amp;Table2[[#This Row],[division]]&amp;Table2[[#This Row],[year]],
Teams[college]&amp;Teams[division]&amp;Teams[year],
Teams[finish], "NA")</f>
        <v>0.64097222222222228</v>
      </c>
    </row>
    <row r="433" spans="1:6" x14ac:dyDescent="0.3">
      <c r="A433" t="s">
        <v>918</v>
      </c>
      <c r="B433" t="s">
        <v>132</v>
      </c>
      <c r="C433">
        <v>6</v>
      </c>
      <c r="D433">
        <v>2026</v>
      </c>
      <c r="E433" cm="1">
        <f t="array" ref="E433">_xlfn.XLOOKUP(Table2[[#This Row],[college]]&amp;Table2[[#This Row],[division]]&amp;Table2[[#This Row],[year]],
Teams[college]&amp;Teams[division]&amp;Teams[year],
Teams[placing], "NA")</f>
        <v>0</v>
      </c>
      <c r="F433" s="1" cm="1">
        <f t="array" ref="F433">_xlfn.XLOOKUP(Table2[[#This Row],[college]]&amp;Table2[[#This Row],[division]]&amp;Table2[[#This Row],[year]],
Teams[college]&amp;Teams[division]&amp;Teams[year],
Teams[finish], "NA")</f>
        <v>0</v>
      </c>
    </row>
    <row r="434" spans="1:6" x14ac:dyDescent="0.3">
      <c r="A434" t="s">
        <v>91</v>
      </c>
      <c r="B434" t="s">
        <v>756</v>
      </c>
      <c r="C434">
        <v>5</v>
      </c>
      <c r="D434">
        <v>2025</v>
      </c>
      <c r="E434" t="str" cm="1">
        <f t="array" ref="E434">_xlfn.XLOOKUP(Table2[[#This Row],[college]]&amp;Table2[[#This Row],[division]]&amp;Table2[[#This Row],[year]],
Teams[college]&amp;Teams[division]&amp;Teams[year],
Teams[placing], "NA")</f>
        <v>NA</v>
      </c>
      <c r="F434" s="1" cm="1">
        <f t="array" ref="F434">_xlfn.XLOOKUP(Table2[[#This Row],[college]]&amp;Table2[[#This Row],[division]]&amp;Table2[[#This Row],[year]],
Teams[college]&amp;Teams[division]&amp;Teams[year],
Teams[finish], "NA")</f>
        <v>0.52708333333333335</v>
      </c>
    </row>
    <row r="435" spans="1:6" x14ac:dyDescent="0.3">
      <c r="A435" t="s">
        <v>91</v>
      </c>
      <c r="B435" t="s">
        <v>755</v>
      </c>
      <c r="C435">
        <v>5</v>
      </c>
      <c r="D435">
        <v>2023</v>
      </c>
      <c r="E435" t="str" cm="1">
        <f t="array" ref="E435">_xlfn.XLOOKUP(Table2[[#This Row],[college]]&amp;Table2[[#This Row],[division]]&amp;Table2[[#This Row],[year]],
Teams[college]&amp;Teams[division]&amp;Teams[year],
Teams[placing], "NA")</f>
        <v>NA</v>
      </c>
      <c r="F435" s="1" cm="1">
        <f t="array" ref="F435">_xlfn.XLOOKUP(Table2[[#This Row],[college]]&amp;Table2[[#This Row],[division]]&amp;Table2[[#This Row],[year]],
Teams[college]&amp;Teams[division]&amp;Teams[year],
Teams[finish], "NA")</f>
        <v>0.63124999999999998</v>
      </c>
    </row>
    <row r="436" spans="1:6" x14ac:dyDescent="0.3">
      <c r="A436" t="s">
        <v>199</v>
      </c>
      <c r="B436" t="s">
        <v>123</v>
      </c>
      <c r="C436">
        <v>2</v>
      </c>
      <c r="D436">
        <v>2025</v>
      </c>
      <c r="E436" t="str" cm="1">
        <f t="array" ref="E436">_xlfn.XLOOKUP(Table2[[#This Row],[college]]&amp;Table2[[#This Row],[division]]&amp;Table2[[#This Row],[year]],
Teams[college]&amp;Teams[division]&amp;Teams[year],
Teams[placing], "NA")</f>
        <v>DNF</v>
      </c>
      <c r="F436" s="1" t="str" cm="1">
        <f t="array" ref="F436">_xlfn.XLOOKUP(Table2[[#This Row],[college]]&amp;Table2[[#This Row],[division]]&amp;Table2[[#This Row],[year]],
Teams[college]&amp;Teams[division]&amp;Teams[year],
Teams[finish], "NA")</f>
        <v>NA</v>
      </c>
    </row>
    <row r="437" spans="1:6" x14ac:dyDescent="0.3">
      <c r="A437" t="s">
        <v>199</v>
      </c>
      <c r="B437" t="s">
        <v>123</v>
      </c>
      <c r="C437">
        <v>6</v>
      </c>
      <c r="D437">
        <v>2026</v>
      </c>
      <c r="E437" cm="1">
        <f t="array" ref="E437">_xlfn.XLOOKUP(Table2[[#This Row],[college]]&amp;Table2[[#This Row],[division]]&amp;Table2[[#This Row],[year]],
Teams[college]&amp;Teams[division]&amp;Teams[year],
Teams[placing], "NA")</f>
        <v>0</v>
      </c>
      <c r="F437" s="1" cm="1">
        <f t="array" ref="F437">_xlfn.XLOOKUP(Table2[[#This Row],[college]]&amp;Table2[[#This Row],[division]]&amp;Table2[[#This Row],[year]],
Teams[college]&amp;Teams[division]&amp;Teams[year],
Teams[finish], "NA")</f>
        <v>0</v>
      </c>
    </row>
    <row r="438" spans="1:6" x14ac:dyDescent="0.3">
      <c r="A438" t="s">
        <v>967</v>
      </c>
      <c r="B438" t="s">
        <v>132</v>
      </c>
      <c r="C438">
        <v>7</v>
      </c>
      <c r="D438">
        <v>2026</v>
      </c>
      <c r="E438" cm="1">
        <f t="array" ref="E438">_xlfn.XLOOKUP(Table2[[#This Row],[college]]&amp;Table2[[#This Row],[division]]&amp;Table2[[#This Row],[year]],
Teams[college]&amp;Teams[division]&amp;Teams[year],
Teams[placing], "NA")</f>
        <v>0</v>
      </c>
      <c r="F438" s="1" cm="1">
        <f t="array" ref="F438">_xlfn.XLOOKUP(Table2[[#This Row],[college]]&amp;Table2[[#This Row],[division]]&amp;Table2[[#This Row],[year]],
Teams[college]&amp;Teams[division]&amp;Teams[year],
Teams[finish], "NA")</f>
        <v>0</v>
      </c>
    </row>
    <row r="439" spans="1:6" x14ac:dyDescent="0.3">
      <c r="A439" t="s">
        <v>622</v>
      </c>
      <c r="B439" t="s">
        <v>19</v>
      </c>
      <c r="C439">
        <v>1</v>
      </c>
      <c r="D439">
        <v>2023</v>
      </c>
      <c r="E439" t="str" cm="1">
        <f t="array" ref="E439">_xlfn.XLOOKUP(Table2[[#This Row],[college]]&amp;Table2[[#This Row],[division]]&amp;Table2[[#This Row],[year]],
Teams[college]&amp;Teams[division]&amp;Teams[year],
Teams[placing], "NA")</f>
        <v>DNF</v>
      </c>
      <c r="F439" s="1" t="str" cm="1">
        <f t="array" ref="F439">_xlfn.XLOOKUP(Table2[[#This Row],[college]]&amp;Table2[[#This Row],[division]]&amp;Table2[[#This Row],[year]],
Teams[college]&amp;Teams[division]&amp;Teams[year],
Teams[finish], "NA")</f>
        <v>NA</v>
      </c>
    </row>
    <row r="440" spans="1:6" x14ac:dyDescent="0.3">
      <c r="A440" t="s">
        <v>913</v>
      </c>
      <c r="B440" t="s">
        <v>19</v>
      </c>
      <c r="C440">
        <v>6</v>
      </c>
      <c r="D440">
        <v>2026</v>
      </c>
      <c r="E440" cm="1">
        <f t="array" ref="E440">_xlfn.XLOOKUP(Table2[[#This Row],[college]]&amp;Table2[[#This Row],[division]]&amp;Table2[[#This Row],[year]],
Teams[college]&amp;Teams[division]&amp;Teams[year],
Teams[placing], "NA")</f>
        <v>0</v>
      </c>
      <c r="F440" s="1" cm="1">
        <f t="array" ref="F440">_xlfn.XLOOKUP(Table2[[#This Row],[college]]&amp;Table2[[#This Row],[division]]&amp;Table2[[#This Row],[year]],
Teams[college]&amp;Teams[division]&amp;Teams[year],
Teams[finish], "NA")</f>
        <v>0</v>
      </c>
    </row>
    <row r="441" spans="1:6" x14ac:dyDescent="0.3">
      <c r="A441" t="s">
        <v>157</v>
      </c>
      <c r="B441" t="s">
        <v>137</v>
      </c>
      <c r="C441">
        <v>5</v>
      </c>
      <c r="D441">
        <v>2024</v>
      </c>
      <c r="E441" cm="1">
        <f t="array" ref="E441">_xlfn.XLOOKUP(Table2[[#This Row],[college]]&amp;Table2[[#This Row],[division]]&amp;Table2[[#This Row],[year]],
Teams[college]&amp;Teams[division]&amp;Teams[year],
Teams[placing], "NA")</f>
        <v>3</v>
      </c>
      <c r="F441" s="1" cm="1">
        <f t="array" ref="F441">_xlfn.XLOOKUP(Table2[[#This Row],[college]]&amp;Table2[[#This Row],[division]]&amp;Table2[[#This Row],[year]],
Teams[college]&amp;Teams[division]&amp;Teams[year],
Teams[finish], "NA")</f>
        <v>0.59444444444444444</v>
      </c>
    </row>
    <row r="442" spans="1:6" x14ac:dyDescent="0.3">
      <c r="A442" t="s">
        <v>157</v>
      </c>
      <c r="B442" t="s">
        <v>137</v>
      </c>
      <c r="C442">
        <v>2</v>
      </c>
      <c r="D442">
        <v>2025</v>
      </c>
      <c r="E442" cm="1">
        <f t="array" ref="E442">_xlfn.XLOOKUP(Table2[[#This Row],[college]]&amp;Table2[[#This Row],[division]]&amp;Table2[[#This Row],[year]],
Teams[college]&amp;Teams[division]&amp;Teams[year],
Teams[placing], "NA")</f>
        <v>6</v>
      </c>
      <c r="F442" s="1" cm="1">
        <f t="array" ref="F442">_xlfn.XLOOKUP(Table2[[#This Row],[college]]&amp;Table2[[#This Row],[division]]&amp;Table2[[#This Row],[year]],
Teams[college]&amp;Teams[division]&amp;Teams[year],
Teams[finish], "NA")</f>
        <v>0.65555555555555556</v>
      </c>
    </row>
    <row r="443" spans="1:6" x14ac:dyDescent="0.3">
      <c r="A443" t="s">
        <v>323</v>
      </c>
      <c r="B443" t="s">
        <v>250</v>
      </c>
      <c r="C443">
        <v>7</v>
      </c>
      <c r="D443">
        <v>2025</v>
      </c>
      <c r="E443" cm="1">
        <f t="array" ref="E443">_xlfn.XLOOKUP(Table2[[#This Row],[college]]&amp;Table2[[#This Row],[division]]&amp;Table2[[#This Row],[year]],
Teams[college]&amp;Teams[division]&amp;Teams[year],
Teams[placing], "NA")</f>
        <v>3</v>
      </c>
      <c r="F443" s="1" cm="1">
        <f t="array" ref="F443">_xlfn.XLOOKUP(Table2[[#This Row],[college]]&amp;Table2[[#This Row],[division]]&amp;Table2[[#This Row],[year]],
Teams[college]&amp;Teams[division]&amp;Teams[year],
Teams[finish], "NA")</f>
        <v>0.50208333333333333</v>
      </c>
    </row>
    <row r="444" spans="1:6" x14ac:dyDescent="0.3">
      <c r="A444" t="s">
        <v>323</v>
      </c>
      <c r="B444" t="s">
        <v>250</v>
      </c>
      <c r="C444">
        <v>6</v>
      </c>
      <c r="D444">
        <v>2026</v>
      </c>
      <c r="E444" cm="1">
        <f t="array" ref="E444">_xlfn.XLOOKUP(Table2[[#This Row],[college]]&amp;Table2[[#This Row],[division]]&amp;Table2[[#This Row],[year]],
Teams[college]&amp;Teams[division]&amp;Teams[year],
Teams[placing], "NA")</f>
        <v>0</v>
      </c>
      <c r="F444" s="1" cm="1">
        <f t="array" ref="F444">_xlfn.XLOOKUP(Table2[[#This Row],[college]]&amp;Table2[[#This Row],[division]]&amp;Table2[[#This Row],[year]],
Teams[college]&amp;Teams[division]&amp;Teams[year],
Teams[finish], "NA")</f>
        <v>0</v>
      </c>
    </row>
    <row r="445" spans="1:6" x14ac:dyDescent="0.3">
      <c r="A445" t="s">
        <v>948</v>
      </c>
      <c r="B445" t="s">
        <v>132</v>
      </c>
      <c r="C445">
        <v>7</v>
      </c>
      <c r="D445">
        <v>2026</v>
      </c>
      <c r="E445" cm="1">
        <f t="array" ref="E445">_xlfn.XLOOKUP(Table2[[#This Row],[college]]&amp;Table2[[#This Row],[division]]&amp;Table2[[#This Row],[year]],
Teams[college]&amp;Teams[division]&amp;Teams[year],
Teams[placing], "NA")</f>
        <v>0</v>
      </c>
      <c r="F445" s="1" cm="1">
        <f t="array" ref="F445">_xlfn.XLOOKUP(Table2[[#This Row],[college]]&amp;Table2[[#This Row],[division]]&amp;Table2[[#This Row],[year]],
Teams[college]&amp;Teams[division]&amp;Teams[year],
Teams[finish], "NA")</f>
        <v>0</v>
      </c>
    </row>
    <row r="446" spans="1:6" x14ac:dyDescent="0.3">
      <c r="A446" t="s">
        <v>457</v>
      </c>
      <c r="B446" t="s">
        <v>19</v>
      </c>
      <c r="C446">
        <v>4</v>
      </c>
      <c r="D446">
        <v>2024</v>
      </c>
      <c r="E446" cm="1">
        <f t="array" ref="E446">_xlfn.XLOOKUP(Table2[[#This Row],[college]]&amp;Table2[[#This Row],[division]]&amp;Table2[[#This Row],[year]],
Teams[college]&amp;Teams[division]&amp;Teams[year],
Teams[placing], "NA")</f>
        <v>5</v>
      </c>
      <c r="F446" s="1" cm="1">
        <f t="array" ref="F446">_xlfn.XLOOKUP(Table2[[#This Row],[college]]&amp;Table2[[#This Row],[division]]&amp;Table2[[#This Row],[year]],
Teams[college]&amp;Teams[division]&amp;Teams[year],
Teams[finish], "NA")</f>
        <v>0.65833333333333333</v>
      </c>
    </row>
    <row r="447" spans="1:6" x14ac:dyDescent="0.3">
      <c r="A447" t="s">
        <v>587</v>
      </c>
      <c r="B447" t="s">
        <v>123</v>
      </c>
      <c r="C447">
        <v>3</v>
      </c>
      <c r="D447">
        <v>2022</v>
      </c>
      <c r="E447" cm="1">
        <f t="array" ref="E447">_xlfn.XLOOKUP(Table2[[#This Row],[college]]&amp;Table2[[#This Row],[division]]&amp;Table2[[#This Row],[year]],
Teams[college]&amp;Teams[division]&amp;Teams[year],
Teams[placing], "NA")</f>
        <v>5</v>
      </c>
      <c r="F447" s="1" cm="1">
        <f t="array" ref="F447">_xlfn.XLOOKUP(Table2[[#This Row],[college]]&amp;Table2[[#This Row],[division]]&amp;Table2[[#This Row],[year]],
Teams[college]&amp;Teams[division]&amp;Teams[year],
Teams[finish], "NA")</f>
        <v>0.61736111111111114</v>
      </c>
    </row>
    <row r="448" spans="1:6" x14ac:dyDescent="0.3">
      <c r="A448" t="s">
        <v>587</v>
      </c>
      <c r="B448" t="s">
        <v>123</v>
      </c>
      <c r="C448">
        <v>4</v>
      </c>
      <c r="D448">
        <v>2023</v>
      </c>
      <c r="E448" cm="1">
        <f t="array" ref="E448">_xlfn.XLOOKUP(Table2[[#This Row],[college]]&amp;Table2[[#This Row],[division]]&amp;Table2[[#This Row],[year]],
Teams[college]&amp;Teams[division]&amp;Teams[year],
Teams[placing], "NA")</f>
        <v>6</v>
      </c>
      <c r="F448" s="1" cm="1">
        <f t="array" ref="F448">_xlfn.XLOOKUP(Table2[[#This Row],[college]]&amp;Table2[[#This Row],[division]]&amp;Table2[[#This Row],[year]],
Teams[college]&amp;Teams[division]&amp;Teams[year],
Teams[finish], "NA")</f>
        <v>0.63888888888888884</v>
      </c>
    </row>
    <row r="449" spans="1:6" x14ac:dyDescent="0.3">
      <c r="A449" t="s">
        <v>99</v>
      </c>
      <c r="B449" t="s">
        <v>760</v>
      </c>
      <c r="C449">
        <v>6</v>
      </c>
      <c r="D449">
        <v>2025</v>
      </c>
      <c r="E449" t="str" cm="1">
        <f t="array" ref="E449">_xlfn.XLOOKUP(Table2[[#This Row],[college]]&amp;Table2[[#This Row],[division]]&amp;Table2[[#This Row],[year]],
Teams[college]&amp;Teams[division]&amp;Teams[year],
Teams[placing], "NA")</f>
        <v>NA</v>
      </c>
      <c r="F449" s="1" cm="1">
        <f t="array" ref="F449">_xlfn.XLOOKUP(Table2[[#This Row],[college]]&amp;Table2[[#This Row],[division]]&amp;Table2[[#This Row],[year]],
Teams[college]&amp;Teams[division]&amp;Teams[year],
Teams[finish], "NA")</f>
        <v>0.7055555555555556</v>
      </c>
    </row>
    <row r="450" spans="1:6" x14ac:dyDescent="0.3">
      <c r="A450" t="s">
        <v>95</v>
      </c>
      <c r="B450" t="s">
        <v>756</v>
      </c>
      <c r="C450">
        <v>6</v>
      </c>
      <c r="D450">
        <v>2025</v>
      </c>
      <c r="E450" t="str" cm="1">
        <f t="array" ref="E450">_xlfn.XLOOKUP(Table2[[#This Row],[college]]&amp;Table2[[#This Row],[division]]&amp;Table2[[#This Row],[year]],
Teams[college]&amp;Teams[division]&amp;Teams[year],
Teams[placing], "NA")</f>
        <v>NA</v>
      </c>
      <c r="F450" s="1" cm="1">
        <f t="array" ref="F450">_xlfn.XLOOKUP(Table2[[#This Row],[college]]&amp;Table2[[#This Row],[division]]&amp;Table2[[#This Row],[year]],
Teams[college]&amp;Teams[division]&amp;Teams[year],
Teams[finish], "NA")</f>
        <v>0.63611111111111107</v>
      </c>
    </row>
    <row r="451" spans="1:6" x14ac:dyDescent="0.3">
      <c r="A451" t="s">
        <v>142</v>
      </c>
      <c r="B451" t="s">
        <v>132</v>
      </c>
      <c r="C451">
        <v>2</v>
      </c>
      <c r="D451">
        <v>2024</v>
      </c>
      <c r="E451" cm="1">
        <f t="array" ref="E451">_xlfn.XLOOKUP(Table2[[#This Row],[college]]&amp;Table2[[#This Row],[division]]&amp;Table2[[#This Row],[year]],
Teams[college]&amp;Teams[division]&amp;Teams[year],
Teams[placing], "NA")</f>
        <v>4</v>
      </c>
      <c r="F451" s="1" cm="1">
        <f t="array" ref="F451">_xlfn.XLOOKUP(Table2[[#This Row],[college]]&amp;Table2[[#This Row],[division]]&amp;Table2[[#This Row],[year]],
Teams[college]&amp;Teams[division]&amp;Teams[year],
Teams[finish], "NA")</f>
        <v>0.5444444444444444</v>
      </c>
    </row>
    <row r="452" spans="1:6" x14ac:dyDescent="0.3">
      <c r="A452" t="s">
        <v>142</v>
      </c>
      <c r="B452" t="s">
        <v>132</v>
      </c>
      <c r="C452">
        <v>1</v>
      </c>
      <c r="D452">
        <v>2025</v>
      </c>
      <c r="E452" cm="1">
        <f t="array" ref="E452">_xlfn.XLOOKUP(Table2[[#This Row],[college]]&amp;Table2[[#This Row],[division]]&amp;Table2[[#This Row],[year]],
Teams[college]&amp;Teams[division]&amp;Teams[year],
Teams[placing], "NA")</f>
        <v>7</v>
      </c>
      <c r="F452" s="1" cm="1">
        <f t="array" ref="F452">_xlfn.XLOOKUP(Table2[[#This Row],[college]]&amp;Table2[[#This Row],[division]]&amp;Table2[[#This Row],[year]],
Teams[college]&amp;Teams[division]&amp;Teams[year],
Teams[finish], "NA")</f>
        <v>0.65625</v>
      </c>
    </row>
    <row r="453" spans="1:6" x14ac:dyDescent="0.3">
      <c r="A453" t="s">
        <v>602</v>
      </c>
      <c r="B453" t="s">
        <v>266</v>
      </c>
      <c r="C453">
        <v>5</v>
      </c>
      <c r="D453">
        <v>2023</v>
      </c>
      <c r="E453" cm="1">
        <f t="array" ref="E453">_xlfn.XLOOKUP(Table2[[#This Row],[college]]&amp;Table2[[#This Row],[division]]&amp;Table2[[#This Row],[year]],
Teams[college]&amp;Teams[division]&amp;Teams[year],
Teams[placing], "NA")</f>
        <v>4</v>
      </c>
      <c r="F453" s="1" cm="1">
        <f t="array" ref="F453">_xlfn.XLOOKUP(Table2[[#This Row],[college]]&amp;Table2[[#This Row],[division]]&amp;Table2[[#This Row],[year]],
Teams[college]&amp;Teams[division]&amp;Teams[year],
Teams[finish], "NA")</f>
        <v>0.62083333333333335</v>
      </c>
    </row>
    <row r="454" spans="1:6" x14ac:dyDescent="0.3">
      <c r="A454" t="s">
        <v>945</v>
      </c>
      <c r="B454" t="s">
        <v>241</v>
      </c>
      <c r="C454">
        <v>6</v>
      </c>
      <c r="D454">
        <v>2026</v>
      </c>
      <c r="E454" cm="1">
        <f t="array" ref="E454">_xlfn.XLOOKUP(Table2[[#This Row],[college]]&amp;Table2[[#This Row],[division]]&amp;Table2[[#This Row],[year]],
Teams[college]&amp;Teams[division]&amp;Teams[year],
Teams[placing], "NA")</f>
        <v>0</v>
      </c>
      <c r="F454" s="1" cm="1">
        <f t="array" ref="F454">_xlfn.XLOOKUP(Table2[[#This Row],[college]]&amp;Table2[[#This Row],[division]]&amp;Table2[[#This Row],[year]],
Teams[college]&amp;Teams[division]&amp;Teams[year],
Teams[finish], "NA")</f>
        <v>0</v>
      </c>
    </row>
    <row r="455" spans="1:6" x14ac:dyDescent="0.3">
      <c r="A455" t="s">
        <v>320</v>
      </c>
      <c r="B455" t="s">
        <v>266</v>
      </c>
      <c r="C455">
        <v>4</v>
      </c>
      <c r="D455">
        <v>2025</v>
      </c>
      <c r="E455" cm="1">
        <f t="array" ref="E455">_xlfn.XLOOKUP(Table2[[#This Row],[college]]&amp;Table2[[#This Row],[division]]&amp;Table2[[#This Row],[year]],
Teams[college]&amp;Teams[division]&amp;Teams[year],
Teams[placing], "NA")</f>
        <v>7</v>
      </c>
      <c r="F455" s="1" cm="1">
        <f t="array" ref="F455">_xlfn.XLOOKUP(Table2[[#This Row],[college]]&amp;Table2[[#This Row],[division]]&amp;Table2[[#This Row],[year]],
Teams[college]&amp;Teams[division]&amp;Teams[year],
Teams[finish], "NA")</f>
        <v>0.65347222222222223</v>
      </c>
    </row>
    <row r="456" spans="1:6" x14ac:dyDescent="0.3">
      <c r="A456" t="s">
        <v>331</v>
      </c>
      <c r="B456" t="s">
        <v>755</v>
      </c>
      <c r="C456">
        <v>2</v>
      </c>
      <c r="D456">
        <v>2025</v>
      </c>
      <c r="E456" t="str" cm="1">
        <f t="array" ref="E456">_xlfn.XLOOKUP(Table2[[#This Row],[college]]&amp;Table2[[#This Row],[division]]&amp;Table2[[#This Row],[year]],
Teams[college]&amp;Teams[division]&amp;Teams[year],
Teams[placing], "NA")</f>
        <v>NA</v>
      </c>
      <c r="F456" s="1" cm="1">
        <f t="array" ref="F456">_xlfn.XLOOKUP(Table2[[#This Row],[college]]&amp;Table2[[#This Row],[division]]&amp;Table2[[#This Row],[year]],
Teams[college]&amp;Teams[division]&amp;Teams[year],
Teams[finish], "NA")</f>
        <v>0.57499999999999996</v>
      </c>
    </row>
    <row r="457" spans="1:6" x14ac:dyDescent="0.3">
      <c r="A457" t="s">
        <v>331</v>
      </c>
      <c r="B457" t="s">
        <v>758</v>
      </c>
      <c r="C457">
        <v>5</v>
      </c>
      <c r="D457">
        <v>2024</v>
      </c>
      <c r="E457" t="str" cm="1">
        <f t="array" ref="E457">_xlfn.XLOOKUP(Table2[[#This Row],[college]]&amp;Table2[[#This Row],[division]]&amp;Table2[[#This Row],[year]],
Teams[college]&amp;Teams[division]&amp;Teams[year],
Teams[placing], "NA")</f>
        <v>DNF</v>
      </c>
      <c r="F457" s="1" t="str" cm="1">
        <f t="array" ref="F457">_xlfn.XLOOKUP(Table2[[#This Row],[college]]&amp;Table2[[#This Row],[division]]&amp;Table2[[#This Row],[year]],
Teams[college]&amp;Teams[division]&amp;Teams[year],
Teams[finish], "NA")</f>
        <v>NA</v>
      </c>
    </row>
    <row r="458" spans="1:6" x14ac:dyDescent="0.3">
      <c r="A458" t="s">
        <v>842</v>
      </c>
      <c r="B458" t="s">
        <v>787</v>
      </c>
      <c r="C458">
        <v>3</v>
      </c>
      <c r="D458">
        <v>2026</v>
      </c>
      <c r="E458" t="str" cm="1">
        <f t="array" ref="E458">_xlfn.XLOOKUP(Table2[[#This Row],[college]]&amp;Table2[[#This Row],[division]]&amp;Table2[[#This Row],[year]],
Teams[college]&amp;Teams[division]&amp;Teams[year],
Teams[placing], "NA")</f>
        <v>NA</v>
      </c>
      <c r="F458" s="1" t="str" cm="1">
        <f t="array" ref="F458">_xlfn.XLOOKUP(Table2[[#This Row],[college]]&amp;Table2[[#This Row],[division]]&amp;Table2[[#This Row],[year]],
Teams[college]&amp;Teams[division]&amp;Teams[year],
Teams[finish], "NA")</f>
        <v>NA</v>
      </c>
    </row>
    <row r="459" spans="1:6" x14ac:dyDescent="0.3">
      <c r="A459" t="s">
        <v>163</v>
      </c>
      <c r="B459" t="s">
        <v>137</v>
      </c>
      <c r="C459">
        <v>5</v>
      </c>
      <c r="D459">
        <v>2025</v>
      </c>
      <c r="E459" cm="1">
        <f t="array" ref="E459">_xlfn.XLOOKUP(Table2[[#This Row],[college]]&amp;Table2[[#This Row],[division]]&amp;Table2[[#This Row],[year]],
Teams[college]&amp;Teams[division]&amp;Teams[year],
Teams[placing], "NA")</f>
        <v>5</v>
      </c>
      <c r="F459" s="1" cm="1">
        <f t="array" ref="F459">_xlfn.XLOOKUP(Table2[[#This Row],[college]]&amp;Table2[[#This Row],[division]]&amp;Table2[[#This Row],[year]],
Teams[college]&amp;Teams[division]&amp;Teams[year],
Teams[finish], "NA")</f>
        <v>0.47847222222222224</v>
      </c>
    </row>
    <row r="460" spans="1:6" x14ac:dyDescent="0.3">
      <c r="A460" t="s">
        <v>163</v>
      </c>
      <c r="B460" t="s">
        <v>137</v>
      </c>
      <c r="C460">
        <v>4</v>
      </c>
      <c r="D460">
        <v>2023</v>
      </c>
      <c r="E460" cm="1">
        <f t="array" ref="E460">_xlfn.XLOOKUP(Table2[[#This Row],[college]]&amp;Table2[[#This Row],[division]]&amp;Table2[[#This Row],[year]],
Teams[college]&amp;Teams[division]&amp;Teams[year],
Teams[placing], "NA")</f>
        <v>1</v>
      </c>
      <c r="F460" s="1" cm="1">
        <f t="array" ref="F460">_xlfn.XLOOKUP(Table2[[#This Row],[college]]&amp;Table2[[#This Row],[division]]&amp;Table2[[#This Row],[year]],
Teams[college]&amp;Teams[division]&amp;Teams[year],
Teams[finish], "NA")</f>
        <v>0.52777777777777779</v>
      </c>
    </row>
    <row r="461" spans="1:6" x14ac:dyDescent="0.3">
      <c r="A461" t="s">
        <v>163</v>
      </c>
      <c r="B461" t="s">
        <v>137</v>
      </c>
      <c r="C461">
        <v>7</v>
      </c>
      <c r="D461">
        <v>2024</v>
      </c>
      <c r="E461" cm="1">
        <f t="array" ref="E461">_xlfn.XLOOKUP(Table2[[#This Row],[college]]&amp;Table2[[#This Row],[division]]&amp;Table2[[#This Row],[year]],
Teams[college]&amp;Teams[division]&amp;Teams[year],
Teams[placing], "NA")</f>
        <v>2</v>
      </c>
      <c r="F461" s="1" cm="1">
        <f t="array" ref="F461">_xlfn.XLOOKUP(Table2[[#This Row],[college]]&amp;Table2[[#This Row],[division]]&amp;Table2[[#This Row],[year]],
Teams[college]&amp;Teams[division]&amp;Teams[year],
Teams[finish], "NA")</f>
        <v>0.56736111111111109</v>
      </c>
    </row>
    <row r="462" spans="1:6" x14ac:dyDescent="0.3">
      <c r="A462" t="s">
        <v>690</v>
      </c>
      <c r="B462" t="s">
        <v>19</v>
      </c>
      <c r="C462">
        <v>7</v>
      </c>
      <c r="D462">
        <v>2022</v>
      </c>
      <c r="E462" cm="1">
        <f t="array" ref="E462">_xlfn.XLOOKUP(Table2[[#This Row],[college]]&amp;Table2[[#This Row],[division]]&amp;Table2[[#This Row],[year]],
Teams[college]&amp;Teams[division]&amp;Teams[year],
Teams[placing], "NA")</f>
        <v>4</v>
      </c>
      <c r="F462" s="1" cm="1">
        <f t="array" ref="F462">_xlfn.XLOOKUP(Table2[[#This Row],[college]]&amp;Table2[[#This Row],[division]]&amp;Table2[[#This Row],[year]],
Teams[college]&amp;Teams[division]&amp;Teams[year],
Teams[finish], "NA")</f>
        <v>0.45972222222222225</v>
      </c>
    </row>
    <row r="463" spans="1:6" x14ac:dyDescent="0.3">
      <c r="A463" t="s">
        <v>311</v>
      </c>
      <c r="B463" t="s">
        <v>759</v>
      </c>
      <c r="C463">
        <v>6</v>
      </c>
      <c r="D463">
        <v>2025</v>
      </c>
      <c r="E463" t="str" cm="1">
        <f t="array" ref="E463">_xlfn.XLOOKUP(Table2[[#This Row],[college]]&amp;Table2[[#This Row],[division]]&amp;Table2[[#This Row],[year]],
Teams[college]&amp;Teams[division]&amp;Teams[year],
Teams[placing], "NA")</f>
        <v>NA</v>
      </c>
      <c r="F463" s="1" cm="1">
        <f t="array" ref="F463">_xlfn.XLOOKUP(Table2[[#This Row],[college]]&amp;Table2[[#This Row],[division]]&amp;Table2[[#This Row],[year]],
Teams[college]&amp;Teams[division]&amp;Teams[year],
Teams[finish], "NA")</f>
        <v>0.68263888888888891</v>
      </c>
    </row>
    <row r="464" spans="1:6" x14ac:dyDescent="0.3">
      <c r="A464" t="s">
        <v>311</v>
      </c>
      <c r="B464" t="s">
        <v>758</v>
      </c>
      <c r="C464">
        <v>5</v>
      </c>
      <c r="D464">
        <v>2024</v>
      </c>
      <c r="E464" t="str" cm="1">
        <f t="array" ref="E464">_xlfn.XLOOKUP(Table2[[#This Row],[college]]&amp;Table2[[#This Row],[division]]&amp;Table2[[#This Row],[year]],
Teams[college]&amp;Teams[division]&amp;Teams[year],
Teams[placing], "NA")</f>
        <v>DNF</v>
      </c>
      <c r="F464" s="1" t="str" cm="1">
        <f t="array" ref="F464">_xlfn.XLOOKUP(Table2[[#This Row],[college]]&amp;Table2[[#This Row],[division]]&amp;Table2[[#This Row],[year]],
Teams[college]&amp;Teams[division]&amp;Teams[year],
Teams[finish], "NA")</f>
        <v>NA</v>
      </c>
    </row>
    <row r="465" spans="1:6" x14ac:dyDescent="0.3">
      <c r="A465" t="s">
        <v>385</v>
      </c>
      <c r="B465" t="s">
        <v>15</v>
      </c>
      <c r="C465">
        <v>2</v>
      </c>
      <c r="D465">
        <v>2024</v>
      </c>
      <c r="E465" cm="1">
        <f t="array" ref="E465">_xlfn.XLOOKUP(Table2[[#This Row],[college]]&amp;Table2[[#This Row],[division]]&amp;Table2[[#This Row],[year]],
Teams[college]&amp;Teams[division]&amp;Teams[year],
Teams[placing], "NA")</f>
        <v>7</v>
      </c>
      <c r="F465" s="1" cm="1">
        <f t="array" ref="F465">_xlfn.XLOOKUP(Table2[[#This Row],[college]]&amp;Table2[[#This Row],[division]]&amp;Table2[[#This Row],[year]],
Teams[college]&amp;Teams[division]&amp;Teams[year],
Teams[finish], "NA")</f>
        <v>0.59583333333333333</v>
      </c>
    </row>
    <row r="466" spans="1:6" x14ac:dyDescent="0.3">
      <c r="A466" t="s">
        <v>385</v>
      </c>
      <c r="B466" t="s">
        <v>15</v>
      </c>
      <c r="C466">
        <v>2</v>
      </c>
      <c r="D466">
        <v>2026</v>
      </c>
      <c r="E466" cm="1">
        <f t="array" ref="E466">_xlfn.XLOOKUP(Table2[[#This Row],[college]]&amp;Table2[[#This Row],[division]]&amp;Table2[[#This Row],[year]],
Teams[college]&amp;Teams[division]&amp;Teams[year],
Teams[placing], "NA")</f>
        <v>0</v>
      </c>
      <c r="F466" s="1" cm="1">
        <f t="array" ref="F466">_xlfn.XLOOKUP(Table2[[#This Row],[college]]&amp;Table2[[#This Row],[division]]&amp;Table2[[#This Row],[year]],
Teams[college]&amp;Teams[division]&amp;Teams[year],
Teams[finish], "NA")</f>
        <v>0</v>
      </c>
    </row>
    <row r="467" spans="1:6" x14ac:dyDescent="0.3">
      <c r="A467" t="s">
        <v>428</v>
      </c>
      <c r="B467" t="s">
        <v>48</v>
      </c>
      <c r="C467">
        <v>5</v>
      </c>
      <c r="D467">
        <v>2023</v>
      </c>
      <c r="E467" cm="1">
        <f t="array" ref="E467">_xlfn.XLOOKUP(Table2[[#This Row],[college]]&amp;Table2[[#This Row],[division]]&amp;Table2[[#This Row],[year]],
Teams[college]&amp;Teams[division]&amp;Teams[year],
Teams[placing], "NA")</f>
        <v>8</v>
      </c>
      <c r="F467" s="1" cm="1">
        <f t="array" ref="F467">_xlfn.XLOOKUP(Table2[[#This Row],[college]]&amp;Table2[[#This Row],[division]]&amp;Table2[[#This Row],[year]],
Teams[college]&amp;Teams[division]&amp;Teams[year],
Teams[finish], "NA")</f>
        <v>0.68055555555555558</v>
      </c>
    </row>
    <row r="468" spans="1:6" x14ac:dyDescent="0.3">
      <c r="A468" t="s">
        <v>428</v>
      </c>
      <c r="B468" t="s">
        <v>48</v>
      </c>
      <c r="C468">
        <v>7</v>
      </c>
      <c r="D468">
        <v>2024</v>
      </c>
      <c r="E468" cm="1">
        <f t="array" ref="E468">_xlfn.XLOOKUP(Table2[[#This Row],[college]]&amp;Table2[[#This Row],[division]]&amp;Table2[[#This Row],[year]],
Teams[college]&amp;Teams[division]&amp;Teams[year],
Teams[placing], "NA")</f>
        <v>6</v>
      </c>
      <c r="F468" s="1" cm="1">
        <f t="array" ref="F468">_xlfn.XLOOKUP(Table2[[#This Row],[college]]&amp;Table2[[#This Row],[division]]&amp;Table2[[#This Row],[year]],
Teams[college]&amp;Teams[division]&amp;Teams[year],
Teams[finish], "NA")</f>
        <v>0.6958333333333333</v>
      </c>
    </row>
    <row r="469" spans="1:6" x14ac:dyDescent="0.3">
      <c r="A469" t="s">
        <v>725</v>
      </c>
      <c r="B469" t="s">
        <v>137</v>
      </c>
      <c r="C469">
        <v>1</v>
      </c>
      <c r="D469">
        <v>2022</v>
      </c>
      <c r="E469" cm="1">
        <f t="array" ref="E469">_xlfn.XLOOKUP(Table2[[#This Row],[college]]&amp;Table2[[#This Row],[division]]&amp;Table2[[#This Row],[year]],
Teams[college]&amp;Teams[division]&amp;Teams[year],
Teams[placing], "NA")</f>
        <v>4</v>
      </c>
      <c r="F469" s="1" cm="1">
        <f t="array" ref="F469">_xlfn.XLOOKUP(Table2[[#This Row],[college]]&amp;Table2[[#This Row],[division]]&amp;Table2[[#This Row],[year]],
Teams[college]&amp;Teams[division]&amp;Teams[year],
Teams[finish], "NA")</f>
        <v>0.60763888888888884</v>
      </c>
    </row>
    <row r="470" spans="1:6" x14ac:dyDescent="0.3">
      <c r="A470" t="s">
        <v>725</v>
      </c>
      <c r="B470" t="s">
        <v>137</v>
      </c>
      <c r="C470">
        <v>3</v>
      </c>
      <c r="D470">
        <v>2024</v>
      </c>
      <c r="E470" cm="1">
        <f t="array" ref="E470">_xlfn.XLOOKUP(Table2[[#This Row],[college]]&amp;Table2[[#This Row],[division]]&amp;Table2[[#This Row],[year]],
Teams[college]&amp;Teams[division]&amp;Teams[year],
Teams[placing], "NA")</f>
        <v>4</v>
      </c>
      <c r="F470" s="1" cm="1">
        <f t="array" ref="F470">_xlfn.XLOOKUP(Table2[[#This Row],[college]]&amp;Table2[[#This Row],[division]]&amp;Table2[[#This Row],[year]],
Teams[college]&amp;Teams[division]&amp;Teams[year],
Teams[finish], "NA")</f>
        <v>0.68402777777777779</v>
      </c>
    </row>
    <row r="471" spans="1:6" x14ac:dyDescent="0.3">
      <c r="A471" t="s">
        <v>9</v>
      </c>
      <c r="B471" t="s">
        <v>10</v>
      </c>
      <c r="C471">
        <v>1</v>
      </c>
      <c r="D471">
        <v>2025</v>
      </c>
      <c r="E471" t="str" cm="1">
        <f t="array" ref="E471">_xlfn.XLOOKUP(Table2[[#This Row],[college]]&amp;Table2[[#This Row],[division]]&amp;Table2[[#This Row],[year]],
Teams[college]&amp;Teams[division]&amp;Teams[year],
Teams[placing], "NA")</f>
        <v>DNF</v>
      </c>
      <c r="F471" s="1" t="str" cm="1">
        <f t="array" ref="F471">_xlfn.XLOOKUP(Table2[[#This Row],[college]]&amp;Table2[[#This Row],[division]]&amp;Table2[[#This Row],[year]],
Teams[college]&amp;Teams[division]&amp;Teams[year],
Teams[finish], "NA")</f>
        <v>NA</v>
      </c>
    </row>
    <row r="472" spans="1:6" x14ac:dyDescent="0.3">
      <c r="A472" t="s">
        <v>41</v>
      </c>
      <c r="B472" t="s">
        <v>15</v>
      </c>
      <c r="C472">
        <v>5</v>
      </c>
      <c r="D472">
        <v>2025</v>
      </c>
      <c r="E472" cm="1">
        <f t="array" ref="E472">_xlfn.XLOOKUP(Table2[[#This Row],[college]]&amp;Table2[[#This Row],[division]]&amp;Table2[[#This Row],[year]],
Teams[college]&amp;Teams[division]&amp;Teams[year],
Teams[placing], "NA")</f>
        <v>6</v>
      </c>
      <c r="F472" s="1" cm="1">
        <f t="array" ref="F472">_xlfn.XLOOKUP(Table2[[#This Row],[college]]&amp;Table2[[#This Row],[division]]&amp;Table2[[#This Row],[year]],
Teams[college]&amp;Teams[division]&amp;Teams[year],
Teams[finish], "NA")</f>
        <v>0.49652777777777779</v>
      </c>
    </row>
    <row r="473" spans="1:6" x14ac:dyDescent="0.3">
      <c r="A473" t="s">
        <v>911</v>
      </c>
      <c r="B473" t="s">
        <v>15</v>
      </c>
      <c r="C473">
        <v>6</v>
      </c>
      <c r="D473">
        <v>2026</v>
      </c>
      <c r="E473" cm="1">
        <f t="array" ref="E473">_xlfn.XLOOKUP(Table2[[#This Row],[college]]&amp;Table2[[#This Row],[division]]&amp;Table2[[#This Row],[year]],
Teams[college]&amp;Teams[division]&amp;Teams[year],
Teams[placing], "NA")</f>
        <v>0</v>
      </c>
      <c r="F473" s="1" cm="1">
        <f t="array" ref="F473">_xlfn.XLOOKUP(Table2[[#This Row],[college]]&amp;Table2[[#This Row],[division]]&amp;Table2[[#This Row],[year]],
Teams[college]&amp;Teams[division]&amp;Teams[year],
Teams[finish], "NA")</f>
        <v>0</v>
      </c>
    </row>
    <row r="474" spans="1:6" x14ac:dyDescent="0.3">
      <c r="A474" t="s">
        <v>23</v>
      </c>
      <c r="B474" t="s">
        <v>19</v>
      </c>
      <c r="C474">
        <v>4</v>
      </c>
      <c r="D474">
        <v>2025</v>
      </c>
      <c r="E474" cm="1">
        <f t="array" ref="E474">_xlfn.XLOOKUP(Table2[[#This Row],[college]]&amp;Table2[[#This Row],[division]]&amp;Table2[[#This Row],[year]],
Teams[college]&amp;Teams[division]&amp;Teams[year],
Teams[placing], "NA")</f>
        <v>6</v>
      </c>
      <c r="F474" s="1" cm="1">
        <f t="array" ref="F474">_xlfn.XLOOKUP(Table2[[#This Row],[college]]&amp;Table2[[#This Row],[division]]&amp;Table2[[#This Row],[year]],
Teams[college]&amp;Teams[division]&amp;Teams[year],
Teams[finish], "NA")</f>
        <v>0.6430555555555556</v>
      </c>
    </row>
    <row r="475" spans="1:6" x14ac:dyDescent="0.3">
      <c r="A475" t="s">
        <v>23</v>
      </c>
      <c r="B475" t="s">
        <v>19</v>
      </c>
      <c r="C475">
        <v>3</v>
      </c>
      <c r="D475">
        <v>2026</v>
      </c>
      <c r="E475" cm="1">
        <f t="array" ref="E475">_xlfn.XLOOKUP(Table2[[#This Row],[college]]&amp;Table2[[#This Row],[division]]&amp;Table2[[#This Row],[year]],
Teams[college]&amp;Teams[division]&amp;Teams[year],
Teams[placing], "NA")</f>
        <v>0</v>
      </c>
      <c r="F475" s="1" cm="1">
        <f t="array" ref="F475">_xlfn.XLOOKUP(Table2[[#This Row],[college]]&amp;Table2[[#This Row],[division]]&amp;Table2[[#This Row],[year]],
Teams[college]&amp;Teams[division]&amp;Teams[year],
Teams[finish], "NA")</f>
        <v>0</v>
      </c>
    </row>
    <row r="476" spans="1:6" x14ac:dyDescent="0.3">
      <c r="A476" t="s">
        <v>487</v>
      </c>
      <c r="B476" t="s">
        <v>137</v>
      </c>
      <c r="C476">
        <v>6</v>
      </c>
      <c r="D476">
        <v>2024</v>
      </c>
      <c r="E476" cm="1">
        <f t="array" ref="E476">_xlfn.XLOOKUP(Table2[[#This Row],[college]]&amp;Table2[[#This Row],[division]]&amp;Table2[[#This Row],[year]],
Teams[college]&amp;Teams[division]&amp;Teams[year],
Teams[placing], "NA")</f>
        <v>2</v>
      </c>
      <c r="F476" s="1" cm="1">
        <f t="array" ref="F476">_xlfn.XLOOKUP(Table2[[#This Row],[college]]&amp;Table2[[#This Row],[division]]&amp;Table2[[#This Row],[year]],
Teams[college]&amp;Teams[division]&amp;Teams[year],
Teams[finish], "NA")</f>
        <v>0.61111111111111116</v>
      </c>
    </row>
    <row r="477" spans="1:6" x14ac:dyDescent="0.3">
      <c r="A477" t="s">
        <v>52</v>
      </c>
      <c r="B477" t="s">
        <v>19</v>
      </c>
      <c r="C477">
        <v>1</v>
      </c>
      <c r="D477">
        <v>2025</v>
      </c>
      <c r="E477" cm="1">
        <f t="array" ref="E477">_xlfn.XLOOKUP(Table2[[#This Row],[college]]&amp;Table2[[#This Row],[division]]&amp;Table2[[#This Row],[year]],
Teams[college]&amp;Teams[division]&amp;Teams[year],
Teams[placing], "NA")</f>
        <v>4</v>
      </c>
      <c r="F477" s="1" cm="1">
        <f t="array" ref="F477">_xlfn.XLOOKUP(Table2[[#This Row],[college]]&amp;Table2[[#This Row],[division]]&amp;Table2[[#This Row],[year]],
Teams[college]&amp;Teams[division]&amp;Teams[year],
Teams[finish], "NA")</f>
        <v>0.57013888888888886</v>
      </c>
    </row>
    <row r="478" spans="1:6" x14ac:dyDescent="0.3">
      <c r="A478" t="s">
        <v>52</v>
      </c>
      <c r="B478" t="s">
        <v>19</v>
      </c>
      <c r="C478">
        <v>2</v>
      </c>
      <c r="D478">
        <v>2024</v>
      </c>
      <c r="E478" cm="1">
        <f t="array" ref="E478">_xlfn.XLOOKUP(Table2[[#This Row],[college]]&amp;Table2[[#This Row],[division]]&amp;Table2[[#This Row],[year]],
Teams[college]&amp;Teams[division]&amp;Teams[year],
Teams[placing], "NA")</f>
        <v>6</v>
      </c>
      <c r="F478" s="1" cm="1">
        <f t="array" ref="F478">_xlfn.XLOOKUP(Table2[[#This Row],[college]]&amp;Table2[[#This Row],[division]]&amp;Table2[[#This Row],[year]],
Teams[college]&amp;Teams[division]&amp;Teams[year],
Teams[finish], "NA")</f>
        <v>0.59305555555555556</v>
      </c>
    </row>
    <row r="479" spans="1:6" x14ac:dyDescent="0.3">
      <c r="A479" t="s">
        <v>52</v>
      </c>
      <c r="B479" t="s">
        <v>19</v>
      </c>
      <c r="C479">
        <v>1</v>
      </c>
      <c r="D479">
        <v>2023</v>
      </c>
      <c r="E479" t="str" cm="1">
        <f t="array" ref="E479">_xlfn.XLOOKUP(Table2[[#This Row],[college]]&amp;Table2[[#This Row],[division]]&amp;Table2[[#This Row],[year]],
Teams[college]&amp;Teams[division]&amp;Teams[year],
Teams[placing], "NA")</f>
        <v>DNF</v>
      </c>
      <c r="F479" s="1" t="str" cm="1">
        <f t="array" ref="F479">_xlfn.XLOOKUP(Table2[[#This Row],[college]]&amp;Table2[[#This Row],[division]]&amp;Table2[[#This Row],[year]],
Teams[college]&amp;Teams[division]&amp;Teams[year],
Teams[finish], "NA")</f>
        <v>NA</v>
      </c>
    </row>
    <row r="480" spans="1:6" x14ac:dyDescent="0.3">
      <c r="A480" t="s">
        <v>761</v>
      </c>
      <c r="B480" t="s">
        <v>123</v>
      </c>
      <c r="C480">
        <v>1</v>
      </c>
      <c r="D480">
        <v>2025</v>
      </c>
      <c r="E480" cm="1">
        <f t="array" ref="E480">_xlfn.XLOOKUP(Table2[[#This Row],[college]]&amp;Table2[[#This Row],[division]]&amp;Table2[[#This Row],[year]],
Teams[college]&amp;Teams[division]&amp;Teams[year],
Teams[placing], "NA")</f>
        <v>7</v>
      </c>
      <c r="F480" s="1" cm="1">
        <f t="array" ref="F480">_xlfn.XLOOKUP(Table2[[#This Row],[college]]&amp;Table2[[#This Row],[division]]&amp;Table2[[#This Row],[year]],
Teams[college]&amp;Teams[division]&amp;Teams[year],
Teams[finish], "NA")</f>
        <v>0.65625</v>
      </c>
    </row>
    <row r="481" spans="1:6" x14ac:dyDescent="0.3">
      <c r="A481" t="s">
        <v>761</v>
      </c>
      <c r="B481" t="s">
        <v>123</v>
      </c>
      <c r="C481">
        <v>1</v>
      </c>
      <c r="D481">
        <v>2026</v>
      </c>
      <c r="E481" cm="1">
        <f t="array" ref="E481">_xlfn.XLOOKUP(Table2[[#This Row],[college]]&amp;Table2[[#This Row],[division]]&amp;Table2[[#This Row],[year]],
Teams[college]&amp;Teams[division]&amp;Teams[year],
Teams[placing], "NA")</f>
        <v>0</v>
      </c>
      <c r="F481" s="1" cm="1">
        <f t="array" ref="F481">_xlfn.XLOOKUP(Table2[[#This Row],[college]]&amp;Table2[[#This Row],[division]]&amp;Table2[[#This Row],[year]],
Teams[college]&amp;Teams[division]&amp;Teams[year],
Teams[finish], "NA")</f>
        <v>0</v>
      </c>
    </row>
    <row r="482" spans="1:6" x14ac:dyDescent="0.3">
      <c r="A482" t="s">
        <v>246</v>
      </c>
      <c r="B482" t="s">
        <v>10</v>
      </c>
      <c r="C482">
        <v>4</v>
      </c>
      <c r="D482">
        <v>2025</v>
      </c>
      <c r="E482" t="str" cm="1">
        <f t="array" ref="E482">_xlfn.XLOOKUP(Table2[[#This Row],[college]]&amp;Table2[[#This Row],[division]]&amp;Table2[[#This Row],[year]],
Teams[college]&amp;Teams[division]&amp;Teams[year],
Teams[placing], "NA")</f>
        <v>DNF</v>
      </c>
      <c r="F482" s="1" t="str" cm="1">
        <f t="array" ref="F482">_xlfn.XLOOKUP(Table2[[#This Row],[college]]&amp;Table2[[#This Row],[division]]&amp;Table2[[#This Row],[year]],
Teams[college]&amp;Teams[division]&amp;Teams[year],
Teams[finish], "NA")</f>
        <v>NA</v>
      </c>
    </row>
    <row r="483" spans="1:6" x14ac:dyDescent="0.3">
      <c r="A483" t="s">
        <v>857</v>
      </c>
      <c r="B483" t="s">
        <v>787</v>
      </c>
      <c r="C483">
        <v>4</v>
      </c>
      <c r="D483">
        <v>2026</v>
      </c>
      <c r="E483" t="str" cm="1">
        <f t="array" ref="E483">_xlfn.XLOOKUP(Table2[[#This Row],[college]]&amp;Table2[[#This Row],[division]]&amp;Table2[[#This Row],[year]],
Teams[college]&amp;Teams[division]&amp;Teams[year],
Teams[placing], "NA")</f>
        <v>NA</v>
      </c>
      <c r="F483" s="1" t="str" cm="1">
        <f t="array" ref="F483">_xlfn.XLOOKUP(Table2[[#This Row],[college]]&amp;Table2[[#This Row],[division]]&amp;Table2[[#This Row],[year]],
Teams[college]&amp;Teams[division]&amp;Teams[year],
Teams[finish], "NA")</f>
        <v>NA</v>
      </c>
    </row>
    <row r="484" spans="1:6" x14ac:dyDescent="0.3">
      <c r="A484" t="s">
        <v>361</v>
      </c>
      <c r="B484" t="s">
        <v>137</v>
      </c>
      <c r="C484">
        <v>7</v>
      </c>
      <c r="D484">
        <v>2024</v>
      </c>
      <c r="E484" cm="1">
        <f t="array" ref="E484">_xlfn.XLOOKUP(Table2[[#This Row],[college]]&amp;Table2[[#This Row],[division]]&amp;Table2[[#This Row],[year]],
Teams[college]&amp;Teams[division]&amp;Teams[year],
Teams[placing], "NA")</f>
        <v>2</v>
      </c>
      <c r="F484" s="1" cm="1">
        <f t="array" ref="F484">_xlfn.XLOOKUP(Table2[[#This Row],[college]]&amp;Table2[[#This Row],[division]]&amp;Table2[[#This Row],[year]],
Teams[college]&amp;Teams[division]&amp;Teams[year],
Teams[finish], "NA")</f>
        <v>0.56736111111111109</v>
      </c>
    </row>
    <row r="485" spans="1:6" x14ac:dyDescent="0.3">
      <c r="A485" t="s">
        <v>667</v>
      </c>
      <c r="B485" t="s">
        <v>250</v>
      </c>
      <c r="C485">
        <v>7</v>
      </c>
      <c r="D485">
        <v>2022</v>
      </c>
      <c r="E485" cm="1">
        <f t="array" ref="E485">_xlfn.XLOOKUP(Table2[[#This Row],[college]]&amp;Table2[[#This Row],[division]]&amp;Table2[[#This Row],[year]],
Teams[college]&amp;Teams[division]&amp;Teams[year],
Teams[placing], "NA")</f>
        <v>7</v>
      </c>
      <c r="F485" s="1" cm="1">
        <f t="array" ref="F485">_xlfn.XLOOKUP(Table2[[#This Row],[college]]&amp;Table2[[#This Row],[division]]&amp;Table2[[#This Row],[year]],
Teams[college]&amp;Teams[division]&amp;Teams[year],
Teams[finish], "NA")</f>
        <v>0.49513888888888891</v>
      </c>
    </row>
    <row r="486" spans="1:6" x14ac:dyDescent="0.3">
      <c r="A486" t="s">
        <v>244</v>
      </c>
      <c r="B486" t="s">
        <v>241</v>
      </c>
      <c r="C486">
        <v>4</v>
      </c>
      <c r="D486">
        <v>2025</v>
      </c>
      <c r="E486" cm="1">
        <f t="array" ref="E486">_xlfn.XLOOKUP(Table2[[#This Row],[college]]&amp;Table2[[#This Row],[division]]&amp;Table2[[#This Row],[year]],
Teams[college]&amp;Teams[division]&amp;Teams[year],
Teams[placing], "NA")</f>
        <v>4</v>
      </c>
      <c r="F486" s="1" cm="1">
        <f t="array" ref="F486">_xlfn.XLOOKUP(Table2[[#This Row],[college]]&amp;Table2[[#This Row],[division]]&amp;Table2[[#This Row],[year]],
Teams[college]&amp;Teams[division]&amp;Teams[year],
Teams[finish], "NA")</f>
        <v>0.59652777777777777</v>
      </c>
    </row>
    <row r="487" spans="1:6" x14ac:dyDescent="0.3">
      <c r="A487" t="s">
        <v>244</v>
      </c>
      <c r="B487" t="s">
        <v>241</v>
      </c>
      <c r="C487">
        <v>6</v>
      </c>
      <c r="D487">
        <v>2026</v>
      </c>
      <c r="E487" cm="1">
        <f t="array" ref="E487">_xlfn.XLOOKUP(Table2[[#This Row],[college]]&amp;Table2[[#This Row],[division]]&amp;Table2[[#This Row],[year]],
Teams[college]&amp;Teams[division]&amp;Teams[year],
Teams[placing], "NA")</f>
        <v>0</v>
      </c>
      <c r="F487" s="1" cm="1">
        <f t="array" ref="F487">_xlfn.XLOOKUP(Table2[[#This Row],[college]]&amp;Table2[[#This Row],[division]]&amp;Table2[[#This Row],[year]],
Teams[college]&amp;Teams[division]&amp;Teams[year],
Teams[finish], "NA")</f>
        <v>0</v>
      </c>
    </row>
    <row r="488" spans="1:6" x14ac:dyDescent="0.3">
      <c r="A488" t="s">
        <v>126</v>
      </c>
      <c r="B488" t="s">
        <v>123</v>
      </c>
      <c r="C488">
        <v>3</v>
      </c>
      <c r="D488">
        <v>2025</v>
      </c>
      <c r="E488" cm="1">
        <f t="array" ref="E488">_xlfn.XLOOKUP(Table2[[#This Row],[college]]&amp;Table2[[#This Row],[division]]&amp;Table2[[#This Row],[year]],
Teams[college]&amp;Teams[division]&amp;Teams[year],
Teams[placing], "NA")</f>
        <v>2</v>
      </c>
      <c r="F488" s="1" cm="1">
        <f t="array" ref="F488">_xlfn.XLOOKUP(Table2[[#This Row],[college]]&amp;Table2[[#This Row],[division]]&amp;Table2[[#This Row],[year]],
Teams[college]&amp;Teams[division]&amp;Teams[year],
Teams[finish], "NA")</f>
        <v>0.52083333333333337</v>
      </c>
    </row>
    <row r="489" spans="1:6" x14ac:dyDescent="0.3">
      <c r="A489" t="s">
        <v>126</v>
      </c>
      <c r="B489" t="s">
        <v>123</v>
      </c>
      <c r="C489">
        <v>1</v>
      </c>
      <c r="D489">
        <v>2026</v>
      </c>
      <c r="E489" cm="1">
        <f t="array" ref="E489">_xlfn.XLOOKUP(Table2[[#This Row],[college]]&amp;Table2[[#This Row],[division]]&amp;Table2[[#This Row],[year]],
Teams[college]&amp;Teams[division]&amp;Teams[year],
Teams[placing], "NA")</f>
        <v>0</v>
      </c>
      <c r="F489" s="1" cm="1">
        <f t="array" ref="F489">_xlfn.XLOOKUP(Table2[[#This Row],[college]]&amp;Table2[[#This Row],[division]]&amp;Table2[[#This Row],[year]],
Teams[college]&amp;Teams[division]&amp;Teams[year],
Teams[finish], "NA")</f>
        <v>0</v>
      </c>
    </row>
    <row r="490" spans="1:6" x14ac:dyDescent="0.3">
      <c r="A490" t="s">
        <v>506</v>
      </c>
      <c r="B490" t="s">
        <v>123</v>
      </c>
      <c r="C490">
        <v>5</v>
      </c>
      <c r="D490">
        <v>2024</v>
      </c>
      <c r="E490" cm="1">
        <f t="array" ref="E490">_xlfn.XLOOKUP(Table2[[#This Row],[college]]&amp;Table2[[#This Row],[division]]&amp;Table2[[#This Row],[year]],
Teams[college]&amp;Teams[division]&amp;Teams[year],
Teams[placing], "NA")</f>
        <v>1</v>
      </c>
      <c r="F490" s="1" cm="1">
        <f t="array" ref="F490">_xlfn.XLOOKUP(Table2[[#This Row],[college]]&amp;Table2[[#This Row],[division]]&amp;Table2[[#This Row],[year]],
Teams[college]&amp;Teams[division]&amp;Teams[year],
Teams[finish], "NA")</f>
        <v>0.53888888888888886</v>
      </c>
    </row>
    <row r="491" spans="1:6" x14ac:dyDescent="0.3">
      <c r="A491" t="s">
        <v>268</v>
      </c>
      <c r="B491" t="s">
        <v>266</v>
      </c>
      <c r="C491">
        <v>6</v>
      </c>
      <c r="D491">
        <v>2025</v>
      </c>
      <c r="E491" cm="1">
        <f t="array" ref="E491">_xlfn.XLOOKUP(Table2[[#This Row],[college]]&amp;Table2[[#This Row],[division]]&amp;Table2[[#This Row],[year]],
Teams[college]&amp;Teams[division]&amp;Teams[year],
Teams[placing], "NA")</f>
        <v>8</v>
      </c>
      <c r="F491" s="1" cm="1">
        <f t="array" ref="F491">_xlfn.XLOOKUP(Table2[[#This Row],[college]]&amp;Table2[[#This Row],[division]]&amp;Table2[[#This Row],[year]],
Teams[college]&amp;Teams[division]&amp;Teams[year],
Teams[finish], "NA")</f>
        <v>0.67152777777777772</v>
      </c>
    </row>
    <row r="492" spans="1:6" x14ac:dyDescent="0.3">
      <c r="A492" t="s">
        <v>268</v>
      </c>
      <c r="B492" t="s">
        <v>266</v>
      </c>
      <c r="C492">
        <v>2</v>
      </c>
      <c r="D492">
        <v>2026</v>
      </c>
      <c r="E492" cm="1">
        <f t="array" ref="E492">_xlfn.XLOOKUP(Table2[[#This Row],[college]]&amp;Table2[[#This Row],[division]]&amp;Table2[[#This Row],[year]],
Teams[college]&amp;Teams[division]&amp;Teams[year],
Teams[placing], "NA")</f>
        <v>0</v>
      </c>
      <c r="F492" s="1" cm="1">
        <f t="array" ref="F492">_xlfn.XLOOKUP(Table2[[#This Row],[college]]&amp;Table2[[#This Row],[division]]&amp;Table2[[#This Row],[year]],
Teams[college]&amp;Teams[division]&amp;Teams[year],
Teams[finish], "NA")</f>
        <v>0</v>
      </c>
    </row>
    <row r="493" spans="1:6" x14ac:dyDescent="0.3">
      <c r="A493" t="s">
        <v>682</v>
      </c>
      <c r="B493" t="s">
        <v>5</v>
      </c>
      <c r="C493">
        <v>7</v>
      </c>
      <c r="D493">
        <v>2022</v>
      </c>
      <c r="E493" cm="1">
        <f t="array" ref="E493">_xlfn.XLOOKUP(Table2[[#This Row],[college]]&amp;Table2[[#This Row],[division]]&amp;Table2[[#This Row],[year]],
Teams[college]&amp;Teams[division]&amp;Teams[year],
Teams[placing], "NA")</f>
        <v>9</v>
      </c>
      <c r="F493" s="1" cm="1">
        <f t="array" ref="F493">_xlfn.XLOOKUP(Table2[[#This Row],[college]]&amp;Table2[[#This Row],[division]]&amp;Table2[[#This Row],[year]],
Teams[college]&amp;Teams[division]&amp;Teams[year],
Teams[finish], "NA")</f>
        <v>0.56805555555555554</v>
      </c>
    </row>
    <row r="494" spans="1:6" x14ac:dyDescent="0.3">
      <c r="A494" t="s">
        <v>543</v>
      </c>
      <c r="B494" t="s">
        <v>19</v>
      </c>
      <c r="C494">
        <v>6</v>
      </c>
      <c r="D494">
        <v>2023</v>
      </c>
      <c r="E494" cm="1">
        <f t="array" ref="E494">_xlfn.XLOOKUP(Table2[[#This Row],[college]]&amp;Table2[[#This Row],[division]]&amp;Table2[[#This Row],[year]],
Teams[college]&amp;Teams[division]&amp;Teams[year],
Teams[placing], "NA")</f>
        <v>7</v>
      </c>
      <c r="F494" s="1" cm="1">
        <f t="array" ref="F494">_xlfn.XLOOKUP(Table2[[#This Row],[college]]&amp;Table2[[#This Row],[division]]&amp;Table2[[#This Row],[year]],
Teams[college]&amp;Teams[division]&amp;Teams[year],
Teams[finish], "NA")</f>
        <v>0.67152777777777772</v>
      </c>
    </row>
    <row r="495" spans="1:6" x14ac:dyDescent="0.3">
      <c r="A495" t="s">
        <v>68</v>
      </c>
      <c r="B495" t="s">
        <v>250</v>
      </c>
      <c r="C495">
        <v>5</v>
      </c>
      <c r="D495">
        <v>2022</v>
      </c>
      <c r="E495" cm="1">
        <f t="array" ref="E495">_xlfn.XLOOKUP(Table2[[#This Row],[college]]&amp;Table2[[#This Row],[division]]&amp;Table2[[#This Row],[year]],
Teams[college]&amp;Teams[division]&amp;Teams[year],
Teams[placing], "NA")</f>
        <v>4</v>
      </c>
      <c r="F495" s="1" cm="1">
        <f t="array" ref="F495">_xlfn.XLOOKUP(Table2[[#This Row],[college]]&amp;Table2[[#This Row],[division]]&amp;Table2[[#This Row],[year]],
Teams[college]&amp;Teams[division]&amp;Teams[year],
Teams[finish], "NA")</f>
        <v>0.52847222222222223</v>
      </c>
    </row>
    <row r="496" spans="1:6" x14ac:dyDescent="0.3">
      <c r="A496" t="s">
        <v>68</v>
      </c>
      <c r="B496" t="s">
        <v>757</v>
      </c>
      <c r="C496">
        <v>6</v>
      </c>
      <c r="D496">
        <v>2025</v>
      </c>
      <c r="E496" t="str" cm="1">
        <f t="array" ref="E496">_xlfn.XLOOKUP(Table2[[#This Row],[college]]&amp;Table2[[#This Row],[division]]&amp;Table2[[#This Row],[year]],
Teams[college]&amp;Teams[division]&amp;Teams[year],
Teams[placing], "NA")</f>
        <v>NA</v>
      </c>
      <c r="F496" s="1" cm="1">
        <f t="array" ref="F496">_xlfn.XLOOKUP(Table2[[#This Row],[college]]&amp;Table2[[#This Row],[division]]&amp;Table2[[#This Row],[year]],
Teams[college]&amp;Teams[division]&amp;Teams[year],
Teams[finish], "NA")</f>
        <v>0.64097222222222228</v>
      </c>
    </row>
    <row r="497" spans="1:6" x14ac:dyDescent="0.3">
      <c r="A497" t="s">
        <v>425</v>
      </c>
      <c r="B497" t="s">
        <v>48</v>
      </c>
      <c r="C497">
        <v>7</v>
      </c>
      <c r="D497">
        <v>2024</v>
      </c>
      <c r="E497" cm="1">
        <f t="array" ref="E497">_xlfn.XLOOKUP(Table2[[#This Row],[college]]&amp;Table2[[#This Row],[division]]&amp;Table2[[#This Row],[year]],
Teams[college]&amp;Teams[division]&amp;Teams[year],
Teams[placing], "NA")</f>
        <v>6</v>
      </c>
      <c r="F497" s="1" cm="1">
        <f t="array" ref="F497">_xlfn.XLOOKUP(Table2[[#This Row],[college]]&amp;Table2[[#This Row],[division]]&amp;Table2[[#This Row],[year]],
Teams[college]&amp;Teams[division]&amp;Teams[year],
Teams[finish], "NA")</f>
        <v>0.6958333333333333</v>
      </c>
    </row>
    <row r="498" spans="1:6" x14ac:dyDescent="0.3">
      <c r="A498" t="s">
        <v>185</v>
      </c>
      <c r="B498" t="s">
        <v>132</v>
      </c>
      <c r="C498">
        <v>4</v>
      </c>
      <c r="D498">
        <v>2025</v>
      </c>
      <c r="E498" cm="1">
        <f t="array" ref="E498">_xlfn.XLOOKUP(Table2[[#This Row],[college]]&amp;Table2[[#This Row],[division]]&amp;Table2[[#This Row],[year]],
Teams[college]&amp;Teams[division]&amp;Teams[year],
Teams[placing], "NA")</f>
        <v>5</v>
      </c>
      <c r="F498" s="1" cm="1">
        <f t="array" ref="F498">_xlfn.XLOOKUP(Table2[[#This Row],[college]]&amp;Table2[[#This Row],[division]]&amp;Table2[[#This Row],[year]],
Teams[college]&amp;Teams[division]&amp;Teams[year],
Teams[finish], "NA")</f>
        <v>0.63680555555555551</v>
      </c>
    </row>
    <row r="499" spans="1:6" x14ac:dyDescent="0.3">
      <c r="A499" t="s">
        <v>185</v>
      </c>
      <c r="B499" t="s">
        <v>132</v>
      </c>
      <c r="C499">
        <v>1</v>
      </c>
      <c r="D499">
        <v>2026</v>
      </c>
      <c r="E499" cm="1">
        <f t="array" ref="E499">_xlfn.XLOOKUP(Table2[[#This Row],[college]]&amp;Table2[[#This Row],[division]]&amp;Table2[[#This Row],[year]],
Teams[college]&amp;Teams[division]&amp;Teams[year],
Teams[placing], "NA")</f>
        <v>0</v>
      </c>
      <c r="F499" s="1" cm="1">
        <f t="array" ref="F499">_xlfn.XLOOKUP(Table2[[#This Row],[college]]&amp;Table2[[#This Row],[division]]&amp;Table2[[#This Row],[year]],
Teams[college]&amp;Teams[division]&amp;Teams[year],
Teams[finish], "NA")</f>
        <v>0</v>
      </c>
    </row>
    <row r="500" spans="1:6" x14ac:dyDescent="0.3">
      <c r="A500" t="s">
        <v>979</v>
      </c>
      <c r="B500" t="s">
        <v>787</v>
      </c>
      <c r="C500">
        <v>7</v>
      </c>
      <c r="D500">
        <v>2026</v>
      </c>
      <c r="E500" t="str" cm="1">
        <f t="array" ref="E500">_xlfn.XLOOKUP(Table2[[#This Row],[college]]&amp;Table2[[#This Row],[division]]&amp;Table2[[#This Row],[year]],
Teams[college]&amp;Teams[division]&amp;Teams[year],
Teams[placing], "NA")</f>
        <v>NA</v>
      </c>
      <c r="F500" s="1" t="str" cm="1">
        <f t="array" ref="F500">_xlfn.XLOOKUP(Table2[[#This Row],[college]]&amp;Table2[[#This Row],[division]]&amp;Table2[[#This Row],[year]],
Teams[college]&amp;Teams[division]&amp;Teams[year],
Teams[finish], "NA")</f>
        <v>NA</v>
      </c>
    </row>
    <row r="501" spans="1:6" x14ac:dyDescent="0.3">
      <c r="A501" t="s">
        <v>44</v>
      </c>
      <c r="B501" t="s">
        <v>15</v>
      </c>
      <c r="C501">
        <v>4</v>
      </c>
      <c r="D501">
        <v>2025</v>
      </c>
      <c r="E501" cm="1">
        <f t="array" ref="E501">_xlfn.XLOOKUP(Table2[[#This Row],[college]]&amp;Table2[[#This Row],[division]]&amp;Table2[[#This Row],[year]],
Teams[college]&amp;Teams[division]&amp;Teams[year],
Teams[placing], "NA")</f>
        <v>1</v>
      </c>
      <c r="F501" s="1" cm="1">
        <f t="array" ref="F501">_xlfn.XLOOKUP(Table2[[#This Row],[college]]&amp;Table2[[#This Row],[division]]&amp;Table2[[#This Row],[year]],
Teams[college]&amp;Teams[division]&amp;Teams[year],
Teams[finish], "NA")</f>
        <v>0.51458333333333328</v>
      </c>
    </row>
    <row r="502" spans="1:6" x14ac:dyDescent="0.3">
      <c r="A502" t="s">
        <v>44</v>
      </c>
      <c r="B502" t="s">
        <v>15</v>
      </c>
      <c r="C502">
        <v>5</v>
      </c>
      <c r="D502">
        <v>2024</v>
      </c>
      <c r="E502" cm="1">
        <f t="array" ref="E502">_xlfn.XLOOKUP(Table2[[#This Row],[college]]&amp;Table2[[#This Row],[division]]&amp;Table2[[#This Row],[year]],
Teams[college]&amp;Teams[division]&amp;Teams[year],
Teams[placing], "NA")</f>
        <v>6</v>
      </c>
      <c r="F502" s="1" cm="1">
        <f t="array" ref="F502">_xlfn.XLOOKUP(Table2[[#This Row],[college]]&amp;Table2[[#This Row],[division]]&amp;Table2[[#This Row],[year]],
Teams[college]&amp;Teams[division]&amp;Teams[year],
Teams[finish], "NA")</f>
        <v>0.62986111111111109</v>
      </c>
    </row>
    <row r="503" spans="1:6" x14ac:dyDescent="0.3">
      <c r="A503" t="s">
        <v>947</v>
      </c>
      <c r="B503" t="s">
        <v>15</v>
      </c>
      <c r="C503">
        <v>7</v>
      </c>
      <c r="D503">
        <v>2026</v>
      </c>
      <c r="E503" cm="1">
        <f t="array" ref="E503">_xlfn.XLOOKUP(Table2[[#This Row],[college]]&amp;Table2[[#This Row],[division]]&amp;Table2[[#This Row],[year]],
Teams[college]&amp;Teams[division]&amp;Teams[year],
Teams[placing], "NA")</f>
        <v>0</v>
      </c>
      <c r="F503" s="1" cm="1">
        <f t="array" ref="F503">_xlfn.XLOOKUP(Table2[[#This Row],[college]]&amp;Table2[[#This Row],[division]]&amp;Table2[[#This Row],[year]],
Teams[college]&amp;Teams[division]&amp;Teams[year],
Teams[finish], "NA")</f>
        <v>0</v>
      </c>
    </row>
    <row r="504" spans="1:6" x14ac:dyDescent="0.3">
      <c r="A504" t="s">
        <v>308</v>
      </c>
      <c r="B504" t="s">
        <v>241</v>
      </c>
      <c r="C504">
        <v>5</v>
      </c>
      <c r="D504">
        <v>2025</v>
      </c>
      <c r="E504" cm="1">
        <f t="array" ref="E504">_xlfn.XLOOKUP(Table2[[#This Row],[college]]&amp;Table2[[#This Row],[division]]&amp;Table2[[#This Row],[year]],
Teams[college]&amp;Teams[division]&amp;Teams[year],
Teams[placing], "NA")</f>
        <v>11</v>
      </c>
      <c r="F504" s="1" cm="1">
        <f t="array" ref="F504">_xlfn.XLOOKUP(Table2[[#This Row],[college]]&amp;Table2[[#This Row],[division]]&amp;Table2[[#This Row],[year]],
Teams[college]&amp;Teams[division]&amp;Teams[year],
Teams[finish], "NA")</f>
        <v>0.65</v>
      </c>
    </row>
    <row r="505" spans="1:6" x14ac:dyDescent="0.3">
      <c r="A505" t="s">
        <v>308</v>
      </c>
      <c r="B505" t="s">
        <v>241</v>
      </c>
      <c r="C505">
        <v>7</v>
      </c>
      <c r="D505">
        <v>2024</v>
      </c>
      <c r="E505" t="str" cm="1">
        <f t="array" ref="E505">_xlfn.XLOOKUP(Table2[[#This Row],[college]]&amp;Table2[[#This Row],[division]]&amp;Table2[[#This Row],[year]],
Teams[college]&amp;Teams[division]&amp;Teams[year],
Teams[placing], "NA")</f>
        <v>DNF</v>
      </c>
      <c r="F505" s="1" t="str" cm="1">
        <f t="array" ref="F505">_xlfn.XLOOKUP(Table2[[#This Row],[college]]&amp;Table2[[#This Row],[division]]&amp;Table2[[#This Row],[year]],
Teams[college]&amp;Teams[division]&amp;Teams[year],
Teams[finish], "NA")</f>
        <v>NA</v>
      </c>
    </row>
    <row r="506" spans="1:6" x14ac:dyDescent="0.3">
      <c r="A506" t="s">
        <v>308</v>
      </c>
      <c r="B506" t="s">
        <v>241</v>
      </c>
      <c r="C506">
        <v>4</v>
      </c>
      <c r="D506">
        <v>2026</v>
      </c>
      <c r="E506" cm="1">
        <f t="array" ref="E506">_xlfn.XLOOKUP(Table2[[#This Row],[college]]&amp;Table2[[#This Row],[division]]&amp;Table2[[#This Row],[year]],
Teams[college]&amp;Teams[division]&amp;Teams[year],
Teams[placing], "NA")</f>
        <v>0</v>
      </c>
      <c r="F506" s="1" cm="1">
        <f t="array" ref="F506">_xlfn.XLOOKUP(Table2[[#This Row],[college]]&amp;Table2[[#This Row],[division]]&amp;Table2[[#This Row],[year]],
Teams[college]&amp;Teams[division]&amp;Teams[year],
Teams[finish], "NA")</f>
        <v>0</v>
      </c>
    </row>
    <row r="507" spans="1:6" x14ac:dyDescent="0.3">
      <c r="A507" t="s">
        <v>828</v>
      </c>
      <c r="B507" t="s">
        <v>250</v>
      </c>
      <c r="C507">
        <v>3</v>
      </c>
      <c r="D507">
        <v>2026</v>
      </c>
      <c r="E507" cm="1">
        <f t="array" ref="E507">_xlfn.XLOOKUP(Table2[[#This Row],[college]]&amp;Table2[[#This Row],[division]]&amp;Table2[[#This Row],[year]],
Teams[college]&amp;Teams[division]&amp;Teams[year],
Teams[placing], "NA")</f>
        <v>0</v>
      </c>
      <c r="F507" s="1" cm="1">
        <f t="array" ref="F507">_xlfn.XLOOKUP(Table2[[#This Row],[college]]&amp;Table2[[#This Row],[division]]&amp;Table2[[#This Row],[year]],
Teams[college]&amp;Teams[division]&amp;Teams[year],
Teams[finish], "NA")</f>
        <v>0</v>
      </c>
    </row>
    <row r="508" spans="1:6" x14ac:dyDescent="0.3">
      <c r="A508" t="s">
        <v>388</v>
      </c>
      <c r="B508" t="s">
        <v>266</v>
      </c>
      <c r="C508">
        <v>1</v>
      </c>
      <c r="D508">
        <v>2024</v>
      </c>
      <c r="E508" cm="1">
        <f t="array" ref="E508">_xlfn.XLOOKUP(Table2[[#This Row],[college]]&amp;Table2[[#This Row],[division]]&amp;Table2[[#This Row],[year]],
Teams[college]&amp;Teams[division]&amp;Teams[year],
Teams[placing], "NA")</f>
        <v>7</v>
      </c>
      <c r="F508" s="1" cm="1">
        <f t="array" ref="F508">_xlfn.XLOOKUP(Table2[[#This Row],[college]]&amp;Table2[[#This Row],[division]]&amp;Table2[[#This Row],[year]],
Teams[college]&amp;Teams[division]&amp;Teams[year],
Teams[finish], "NA")</f>
        <v>0.69097222222222221</v>
      </c>
    </row>
    <row r="509" spans="1:6" x14ac:dyDescent="0.3">
      <c r="A509" t="s">
        <v>198</v>
      </c>
      <c r="B509" t="s">
        <v>123</v>
      </c>
      <c r="C509">
        <v>2</v>
      </c>
      <c r="D509">
        <v>2026</v>
      </c>
      <c r="E509" cm="1">
        <f t="array" ref="E509">_xlfn.XLOOKUP(Table2[[#This Row],[college]]&amp;Table2[[#This Row],[division]]&amp;Table2[[#This Row],[year]],
Teams[college]&amp;Teams[division]&amp;Teams[year],
Teams[placing], "NA")</f>
        <v>0</v>
      </c>
      <c r="F509" s="1" cm="1">
        <f t="array" ref="F509">_xlfn.XLOOKUP(Table2[[#This Row],[college]]&amp;Table2[[#This Row],[division]]&amp;Table2[[#This Row],[year]],
Teams[college]&amp;Teams[division]&amp;Teams[year],
Teams[finish], "NA")</f>
        <v>0</v>
      </c>
    </row>
    <row r="510" spans="1:6" x14ac:dyDescent="0.3">
      <c r="A510" t="s">
        <v>198</v>
      </c>
      <c r="B510" t="s">
        <v>123</v>
      </c>
      <c r="C510">
        <v>4</v>
      </c>
      <c r="D510">
        <v>2023</v>
      </c>
      <c r="E510" cm="1">
        <f t="array" ref="E510">_xlfn.XLOOKUP(Table2[[#This Row],[college]]&amp;Table2[[#This Row],[division]]&amp;Table2[[#This Row],[year]],
Teams[college]&amp;Teams[division]&amp;Teams[year],
Teams[placing], "NA")</f>
        <v>6</v>
      </c>
      <c r="F510" s="1" cm="1">
        <f t="array" ref="F510">_xlfn.XLOOKUP(Table2[[#This Row],[college]]&amp;Table2[[#This Row],[division]]&amp;Table2[[#This Row],[year]],
Teams[college]&amp;Teams[division]&amp;Teams[year],
Teams[finish], "NA")</f>
        <v>0.63888888888888884</v>
      </c>
    </row>
    <row r="511" spans="1:6" x14ac:dyDescent="0.3">
      <c r="A511" t="s">
        <v>198</v>
      </c>
      <c r="B511" t="s">
        <v>123</v>
      </c>
      <c r="C511">
        <v>2</v>
      </c>
      <c r="D511">
        <v>2025</v>
      </c>
      <c r="E511" t="str" cm="1">
        <f t="array" ref="E511">_xlfn.XLOOKUP(Table2[[#This Row],[college]]&amp;Table2[[#This Row],[division]]&amp;Table2[[#This Row],[year]],
Teams[college]&amp;Teams[division]&amp;Teams[year],
Teams[placing], "NA")</f>
        <v>DNF</v>
      </c>
      <c r="F511" s="1" t="str" cm="1">
        <f t="array" ref="F511">_xlfn.XLOOKUP(Table2[[#This Row],[college]]&amp;Table2[[#This Row],[division]]&amp;Table2[[#This Row],[year]],
Teams[college]&amp;Teams[division]&amp;Teams[year],
Teams[finish], "NA")</f>
        <v>NA</v>
      </c>
    </row>
    <row r="512" spans="1:6" x14ac:dyDescent="0.3">
      <c r="A512" t="s">
        <v>198</v>
      </c>
      <c r="B512" t="s">
        <v>123</v>
      </c>
      <c r="C512">
        <v>3</v>
      </c>
      <c r="D512">
        <v>2024</v>
      </c>
      <c r="E512" t="str" cm="1">
        <f t="array" ref="E512">_xlfn.XLOOKUP(Table2[[#This Row],[college]]&amp;Table2[[#This Row],[division]]&amp;Table2[[#This Row],[year]],
Teams[college]&amp;Teams[division]&amp;Teams[year],
Teams[placing], "NA")</f>
        <v>DNF</v>
      </c>
      <c r="F512" s="1" t="str" cm="1">
        <f t="array" ref="F512">_xlfn.XLOOKUP(Table2[[#This Row],[college]]&amp;Table2[[#This Row],[division]]&amp;Table2[[#This Row],[year]],
Teams[college]&amp;Teams[division]&amp;Teams[year],
Teams[finish], "NA")</f>
        <v>NA</v>
      </c>
    </row>
    <row r="513" spans="1:6" x14ac:dyDescent="0.3">
      <c r="A513" t="s">
        <v>473</v>
      </c>
      <c r="B513" t="s">
        <v>757</v>
      </c>
      <c r="C513">
        <v>5</v>
      </c>
      <c r="D513">
        <v>2024</v>
      </c>
      <c r="E513" t="str" cm="1">
        <f t="array" ref="E513">_xlfn.XLOOKUP(Table2[[#This Row],[college]]&amp;Table2[[#This Row],[division]]&amp;Table2[[#This Row],[year]],
Teams[college]&amp;Teams[division]&amp;Teams[year],
Teams[placing], "NA")</f>
        <v>NA</v>
      </c>
      <c r="F513" s="1" cm="1">
        <f t="array" ref="F513">_xlfn.XLOOKUP(Table2[[#This Row],[college]]&amp;Table2[[#This Row],[division]]&amp;Table2[[#This Row],[year]],
Teams[college]&amp;Teams[division]&amp;Teams[year],
Teams[finish], "NA")</f>
        <v>0.67708333333333337</v>
      </c>
    </row>
    <row r="514" spans="1:6" x14ac:dyDescent="0.3">
      <c r="A514" t="s">
        <v>704</v>
      </c>
      <c r="B514" t="s">
        <v>5</v>
      </c>
      <c r="C514">
        <v>5</v>
      </c>
      <c r="D514">
        <v>2022</v>
      </c>
      <c r="E514" cm="1">
        <f t="array" ref="E514">_xlfn.XLOOKUP(Table2[[#This Row],[college]]&amp;Table2[[#This Row],[division]]&amp;Table2[[#This Row],[year]],
Teams[college]&amp;Teams[division]&amp;Teams[year],
Teams[placing], "NA")</f>
        <v>6</v>
      </c>
      <c r="F514" s="1" cm="1">
        <f t="array" ref="F514">_xlfn.XLOOKUP(Table2[[#This Row],[college]]&amp;Table2[[#This Row],[division]]&amp;Table2[[#This Row],[year]],
Teams[college]&amp;Teams[division]&amp;Teams[year],
Teams[finish], "NA")</f>
        <v>0.62152777777777779</v>
      </c>
    </row>
    <row r="515" spans="1:6" x14ac:dyDescent="0.3">
      <c r="A515" t="s">
        <v>665</v>
      </c>
      <c r="B515" t="s">
        <v>137</v>
      </c>
      <c r="C515">
        <v>7</v>
      </c>
      <c r="D515">
        <v>2022</v>
      </c>
      <c r="E515" cm="1">
        <f t="array" ref="E515">_xlfn.XLOOKUP(Table2[[#This Row],[college]]&amp;Table2[[#This Row],[division]]&amp;Table2[[#This Row],[year]],
Teams[college]&amp;Teams[division]&amp;Teams[year],
Teams[placing], "NA")</f>
        <v>1</v>
      </c>
      <c r="F515" s="1" cm="1">
        <f t="array" ref="F515">_xlfn.XLOOKUP(Table2[[#This Row],[college]]&amp;Table2[[#This Row],[division]]&amp;Table2[[#This Row],[year]],
Teams[college]&amp;Teams[division]&amp;Teams[year],
Teams[finish], "NA")</f>
        <v>0.44166666666666665</v>
      </c>
    </row>
    <row r="516" spans="1:6" x14ac:dyDescent="0.3">
      <c r="A516" t="s">
        <v>466</v>
      </c>
      <c r="B516" t="s">
        <v>755</v>
      </c>
      <c r="C516">
        <v>5</v>
      </c>
      <c r="D516">
        <v>2024</v>
      </c>
      <c r="E516" t="str" cm="1">
        <f t="array" ref="E516">_xlfn.XLOOKUP(Table2[[#This Row],[college]]&amp;Table2[[#This Row],[division]]&amp;Table2[[#This Row],[year]],
Teams[college]&amp;Teams[division]&amp;Teams[year],
Teams[placing], "NA")</f>
        <v>NA</v>
      </c>
      <c r="F516" s="1" cm="1">
        <f t="array" ref="F516">_xlfn.XLOOKUP(Table2[[#This Row],[college]]&amp;Table2[[#This Row],[division]]&amp;Table2[[#This Row],[year]],
Teams[college]&amp;Teams[division]&amp;Teams[year],
Teams[finish], "NA")</f>
        <v>0.60069444444444442</v>
      </c>
    </row>
    <row r="517" spans="1:6" x14ac:dyDescent="0.3">
      <c r="A517" t="s">
        <v>616</v>
      </c>
      <c r="B517" t="s">
        <v>250</v>
      </c>
      <c r="C517">
        <v>6</v>
      </c>
      <c r="D517">
        <v>2023</v>
      </c>
      <c r="E517" t="str" cm="1">
        <f t="array" ref="E517">_xlfn.XLOOKUP(Table2[[#This Row],[college]]&amp;Table2[[#This Row],[division]]&amp;Table2[[#This Row],[year]],
Teams[college]&amp;Teams[division]&amp;Teams[year],
Teams[placing], "NA")</f>
        <v>DNF</v>
      </c>
      <c r="F517" s="1" t="str" cm="1">
        <f t="array" ref="F517">_xlfn.XLOOKUP(Table2[[#This Row],[college]]&amp;Table2[[#This Row],[division]]&amp;Table2[[#This Row],[year]],
Teams[college]&amp;Teams[division]&amp;Teams[year],
Teams[finish], "NA")</f>
        <v>NA</v>
      </c>
    </row>
    <row r="518" spans="1:6" x14ac:dyDescent="0.3">
      <c r="A518" t="s">
        <v>443</v>
      </c>
      <c r="B518" t="s">
        <v>250</v>
      </c>
      <c r="C518">
        <v>5</v>
      </c>
      <c r="D518">
        <v>2024</v>
      </c>
      <c r="E518" cm="1">
        <f t="array" ref="E518">_xlfn.XLOOKUP(Table2[[#This Row],[college]]&amp;Table2[[#This Row],[division]]&amp;Table2[[#This Row],[year]],
Teams[college]&amp;Teams[division]&amp;Teams[year],
Teams[placing], "NA")</f>
        <v>7</v>
      </c>
      <c r="F518" s="1" cm="1">
        <f t="array" ref="F518">_xlfn.XLOOKUP(Table2[[#This Row],[college]]&amp;Table2[[#This Row],[division]]&amp;Table2[[#This Row],[year]],
Teams[college]&amp;Teams[division]&amp;Teams[year],
Teams[finish], "NA")</f>
        <v>0.63194444444444442</v>
      </c>
    </row>
    <row r="519" spans="1:6" x14ac:dyDescent="0.3">
      <c r="A519" t="s">
        <v>203</v>
      </c>
      <c r="B519" t="s">
        <v>5</v>
      </c>
      <c r="C519">
        <v>1</v>
      </c>
      <c r="D519">
        <v>2025</v>
      </c>
      <c r="E519" cm="1">
        <f t="array" ref="E519">_xlfn.XLOOKUP(Table2[[#This Row],[college]]&amp;Table2[[#This Row],[division]]&amp;Table2[[#This Row],[year]],
Teams[college]&amp;Teams[division]&amp;Teams[year],
Teams[placing], "NA")</f>
        <v>1</v>
      </c>
      <c r="F519" s="1" cm="1">
        <f t="array" ref="F519">_xlfn.XLOOKUP(Table2[[#This Row],[college]]&amp;Table2[[#This Row],[division]]&amp;Table2[[#This Row],[year]],
Teams[college]&amp;Teams[division]&amp;Teams[year],
Teams[finish], "NA")</f>
        <v>0.38472222222222224</v>
      </c>
    </row>
    <row r="520" spans="1:6" x14ac:dyDescent="0.3">
      <c r="A520" t="s">
        <v>203</v>
      </c>
      <c r="B520" t="s">
        <v>5</v>
      </c>
      <c r="C520">
        <v>1</v>
      </c>
      <c r="D520">
        <v>2022</v>
      </c>
      <c r="E520" cm="1">
        <f t="array" ref="E520">_xlfn.XLOOKUP(Table2[[#This Row],[college]]&amp;Table2[[#This Row],[division]]&amp;Table2[[#This Row],[year]],
Teams[college]&amp;Teams[division]&amp;Teams[year],
Teams[placing], "NA")</f>
        <v>1</v>
      </c>
      <c r="F520" s="1" cm="1">
        <f t="array" ref="F520">_xlfn.XLOOKUP(Table2[[#This Row],[college]]&amp;Table2[[#This Row],[division]]&amp;Table2[[#This Row],[year]],
Teams[college]&amp;Teams[division]&amp;Teams[year],
Teams[finish], "NA")</f>
        <v>0.45</v>
      </c>
    </row>
    <row r="521" spans="1:6" x14ac:dyDescent="0.3">
      <c r="A521" t="s">
        <v>203</v>
      </c>
      <c r="B521" t="s">
        <v>5</v>
      </c>
      <c r="C521">
        <v>1</v>
      </c>
      <c r="D521">
        <v>2024</v>
      </c>
      <c r="E521" cm="1">
        <f t="array" ref="E521">_xlfn.XLOOKUP(Table2[[#This Row],[college]]&amp;Table2[[#This Row],[division]]&amp;Table2[[#This Row],[year]],
Teams[college]&amp;Teams[division]&amp;Teams[year],
Teams[placing], "NA")</f>
        <v>1</v>
      </c>
      <c r="F521" s="1" cm="1">
        <f t="array" ref="F521">_xlfn.XLOOKUP(Table2[[#This Row],[college]]&amp;Table2[[#This Row],[division]]&amp;Table2[[#This Row],[year]],
Teams[college]&amp;Teams[division]&amp;Teams[year],
Teams[finish], "NA")</f>
        <v>0.49652777777777779</v>
      </c>
    </row>
    <row r="522" spans="1:6" x14ac:dyDescent="0.3">
      <c r="A522" t="s">
        <v>203</v>
      </c>
      <c r="B522" t="s">
        <v>5</v>
      </c>
      <c r="C522">
        <v>1</v>
      </c>
      <c r="D522">
        <v>2023</v>
      </c>
      <c r="E522" t="str" cm="1">
        <f t="array" ref="E522">_xlfn.XLOOKUP(Table2[[#This Row],[college]]&amp;Table2[[#This Row],[division]]&amp;Table2[[#This Row],[year]],
Teams[college]&amp;Teams[division]&amp;Teams[year],
Teams[placing], "NA")</f>
        <v>DNF</v>
      </c>
      <c r="F522" s="1" t="str" cm="1">
        <f t="array" ref="F522">_xlfn.XLOOKUP(Table2[[#This Row],[college]]&amp;Table2[[#This Row],[division]]&amp;Table2[[#This Row],[year]],
Teams[college]&amp;Teams[division]&amp;Teams[year],
Teams[finish], "NA")</f>
        <v>NA</v>
      </c>
    </row>
    <row r="523" spans="1:6" x14ac:dyDescent="0.3">
      <c r="A523" t="s">
        <v>203</v>
      </c>
      <c r="B523" t="s">
        <v>5</v>
      </c>
      <c r="C523">
        <v>1</v>
      </c>
      <c r="D523">
        <v>2026</v>
      </c>
      <c r="E523" cm="1">
        <f t="array" ref="E523">_xlfn.XLOOKUP(Table2[[#This Row],[college]]&amp;Table2[[#This Row],[division]]&amp;Table2[[#This Row],[year]],
Teams[college]&amp;Teams[division]&amp;Teams[year],
Teams[placing], "NA")</f>
        <v>0</v>
      </c>
      <c r="F523" s="1" cm="1">
        <f t="array" ref="F523">_xlfn.XLOOKUP(Table2[[#This Row],[college]]&amp;Table2[[#This Row],[division]]&amp;Table2[[#This Row],[year]],
Teams[college]&amp;Teams[division]&amp;Teams[year],
Teams[finish], "NA")</f>
        <v>0</v>
      </c>
    </row>
    <row r="524" spans="1:6" x14ac:dyDescent="0.3">
      <c r="A524" t="s">
        <v>658</v>
      </c>
      <c r="B524" t="s">
        <v>123</v>
      </c>
      <c r="C524">
        <v>6</v>
      </c>
      <c r="D524">
        <v>2022</v>
      </c>
      <c r="E524" cm="1">
        <f t="array" ref="E524">_xlfn.XLOOKUP(Table2[[#This Row],[college]]&amp;Table2[[#This Row],[division]]&amp;Table2[[#This Row],[year]],
Teams[college]&amp;Teams[division]&amp;Teams[year],
Teams[placing], "NA")</f>
        <v>1</v>
      </c>
      <c r="F524" s="1" cm="1">
        <f t="array" ref="F524">_xlfn.XLOOKUP(Table2[[#This Row],[college]]&amp;Table2[[#This Row],[division]]&amp;Table2[[#This Row],[year]],
Teams[college]&amp;Teams[division]&amp;Teams[year],
Teams[finish], "NA")</f>
        <v>0.48958333333333337</v>
      </c>
    </row>
    <row r="525" spans="1:6" x14ac:dyDescent="0.3">
      <c r="A525" t="s">
        <v>658</v>
      </c>
      <c r="B525" t="s">
        <v>123</v>
      </c>
      <c r="C525">
        <v>7</v>
      </c>
      <c r="D525">
        <v>2023</v>
      </c>
      <c r="E525" cm="1">
        <f t="array" ref="E525">_xlfn.XLOOKUP(Table2[[#This Row],[college]]&amp;Table2[[#This Row],[division]]&amp;Table2[[#This Row],[year]],
Teams[college]&amp;Teams[division]&amp;Teams[year],
Teams[placing], "NA")</f>
        <v>5</v>
      </c>
      <c r="F525" s="1" cm="1">
        <f t="array" ref="F525">_xlfn.XLOOKUP(Table2[[#This Row],[college]]&amp;Table2[[#This Row],[division]]&amp;Table2[[#This Row],[year]],
Teams[college]&amp;Teams[division]&amp;Teams[year],
Teams[finish], "NA")</f>
        <v>0.57777777777777772</v>
      </c>
    </row>
    <row r="526" spans="1:6" x14ac:dyDescent="0.3">
      <c r="A526" t="s">
        <v>807</v>
      </c>
      <c r="B526" t="s">
        <v>241</v>
      </c>
      <c r="C526">
        <v>2</v>
      </c>
      <c r="D526">
        <v>2026</v>
      </c>
      <c r="E526" cm="1">
        <f t="array" ref="E526">_xlfn.XLOOKUP(Table2[[#This Row],[college]]&amp;Table2[[#This Row],[division]]&amp;Table2[[#This Row],[year]],
Teams[college]&amp;Teams[division]&amp;Teams[year],
Teams[placing], "NA")</f>
        <v>0</v>
      </c>
      <c r="F526" s="1" cm="1">
        <f t="array" ref="F526">_xlfn.XLOOKUP(Table2[[#This Row],[college]]&amp;Table2[[#This Row],[division]]&amp;Table2[[#This Row],[year]],
Teams[college]&amp;Teams[division]&amp;Teams[year],
Teams[finish], "NA")</f>
        <v>0</v>
      </c>
    </row>
    <row r="527" spans="1:6" x14ac:dyDescent="0.3">
      <c r="A527" t="s">
        <v>179</v>
      </c>
      <c r="B527" t="s">
        <v>15</v>
      </c>
      <c r="C527">
        <v>1</v>
      </c>
      <c r="D527">
        <v>2026</v>
      </c>
      <c r="E527" cm="1">
        <f t="array" ref="E527">_xlfn.XLOOKUP(Table2[[#This Row],[college]]&amp;Table2[[#This Row],[division]]&amp;Table2[[#This Row],[year]],
Teams[college]&amp;Teams[division]&amp;Teams[year],
Teams[placing], "NA")</f>
        <v>0</v>
      </c>
      <c r="F527" s="1" cm="1">
        <f t="array" ref="F527">_xlfn.XLOOKUP(Table2[[#This Row],[college]]&amp;Table2[[#This Row],[division]]&amp;Table2[[#This Row],[year]],
Teams[college]&amp;Teams[division]&amp;Teams[year],
Teams[finish], "NA")</f>
        <v>0</v>
      </c>
    </row>
    <row r="528" spans="1:6" x14ac:dyDescent="0.3">
      <c r="A528" t="s">
        <v>423</v>
      </c>
      <c r="B528" t="s">
        <v>10</v>
      </c>
      <c r="C528">
        <v>6</v>
      </c>
      <c r="D528">
        <v>2024</v>
      </c>
      <c r="E528" t="str" cm="1">
        <f t="array" ref="E528">_xlfn.XLOOKUP(Table2[[#This Row],[college]]&amp;Table2[[#This Row],[division]]&amp;Table2[[#This Row],[year]],
Teams[college]&amp;Teams[division]&amp;Teams[year],
Teams[placing], "NA")</f>
        <v>DNF</v>
      </c>
      <c r="F528" s="1" t="str" cm="1">
        <f t="array" ref="F528">_xlfn.XLOOKUP(Table2[[#This Row],[college]]&amp;Table2[[#This Row],[division]]&amp;Table2[[#This Row],[year]],
Teams[college]&amp;Teams[division]&amp;Teams[year],
Teams[finish], "NA")</f>
        <v>NA</v>
      </c>
    </row>
    <row r="529" spans="1:6" x14ac:dyDescent="0.3">
      <c r="A529" t="s">
        <v>297</v>
      </c>
      <c r="B529" t="s">
        <v>266</v>
      </c>
      <c r="C529">
        <v>7</v>
      </c>
      <c r="D529">
        <v>2025</v>
      </c>
      <c r="E529" cm="1">
        <f t="array" ref="E529">_xlfn.XLOOKUP(Table2[[#This Row],[college]]&amp;Table2[[#This Row],[division]]&amp;Table2[[#This Row],[year]],
Teams[college]&amp;Teams[division]&amp;Teams[year],
Teams[placing], "NA")</f>
        <v>6</v>
      </c>
      <c r="F529" s="1" cm="1">
        <f t="array" ref="F529">_xlfn.XLOOKUP(Table2[[#This Row],[college]]&amp;Table2[[#This Row],[division]]&amp;Table2[[#This Row],[year]],
Teams[college]&amp;Teams[division]&amp;Teams[year],
Teams[finish], "NA")</f>
        <v>0.51597222222222228</v>
      </c>
    </row>
    <row r="530" spans="1:6" x14ac:dyDescent="0.3">
      <c r="A530" t="s">
        <v>297</v>
      </c>
      <c r="B530" t="s">
        <v>266</v>
      </c>
      <c r="C530">
        <v>6</v>
      </c>
      <c r="D530">
        <v>2024</v>
      </c>
      <c r="E530" t="str" cm="1">
        <f t="array" ref="E530">_xlfn.XLOOKUP(Table2[[#This Row],[college]]&amp;Table2[[#This Row],[division]]&amp;Table2[[#This Row],[year]],
Teams[college]&amp;Teams[division]&amp;Teams[year],
Teams[placing], "NA")</f>
        <v>DNF</v>
      </c>
      <c r="F530" s="1" t="str" cm="1">
        <f t="array" ref="F530">_xlfn.XLOOKUP(Table2[[#This Row],[college]]&amp;Table2[[#This Row],[division]]&amp;Table2[[#This Row],[year]],
Teams[college]&amp;Teams[division]&amp;Teams[year],
Teams[finish], "NA")</f>
        <v>NA</v>
      </c>
    </row>
    <row r="531" spans="1:6" x14ac:dyDescent="0.3">
      <c r="A531" t="s">
        <v>297</v>
      </c>
      <c r="B531" t="s">
        <v>266</v>
      </c>
      <c r="C531">
        <v>7</v>
      </c>
      <c r="D531">
        <v>2026</v>
      </c>
      <c r="E531" cm="1">
        <f t="array" ref="E531">_xlfn.XLOOKUP(Table2[[#This Row],[college]]&amp;Table2[[#This Row],[division]]&amp;Table2[[#This Row],[year]],
Teams[college]&amp;Teams[division]&amp;Teams[year],
Teams[placing], "NA")</f>
        <v>0</v>
      </c>
      <c r="F531" s="1" cm="1">
        <f t="array" ref="F531">_xlfn.XLOOKUP(Table2[[#This Row],[college]]&amp;Table2[[#This Row],[division]]&amp;Table2[[#This Row],[year]],
Teams[college]&amp;Teams[division]&amp;Teams[year],
Teams[finish], "NA")</f>
        <v>0</v>
      </c>
    </row>
    <row r="532" spans="1:6" x14ac:dyDescent="0.3">
      <c r="A532" t="s">
        <v>179</v>
      </c>
      <c r="B532" t="s">
        <v>15</v>
      </c>
      <c r="C532">
        <v>1</v>
      </c>
      <c r="D532">
        <v>2024</v>
      </c>
      <c r="E532" cm="1">
        <f t="array" ref="E532">_xlfn.XLOOKUP(Table2[[#This Row],[college]]&amp;Table2[[#This Row],[division]]&amp;Table2[[#This Row],[year]],
Teams[college]&amp;Teams[division]&amp;Teams[year],
Teams[placing], "NA")</f>
        <v>2</v>
      </c>
      <c r="F532" s="1" cm="1">
        <f t="array" ref="F532">_xlfn.XLOOKUP(Table2[[#This Row],[college]]&amp;Table2[[#This Row],[division]]&amp;Table2[[#This Row],[year]],
Teams[college]&amp;Teams[division]&amp;Teams[year],
Teams[finish], "NA")</f>
        <v>0.52638888888888891</v>
      </c>
    </row>
    <row r="533" spans="1:6" x14ac:dyDescent="0.3">
      <c r="A533" t="s">
        <v>179</v>
      </c>
      <c r="B533" t="s">
        <v>15</v>
      </c>
      <c r="C533">
        <v>2</v>
      </c>
      <c r="D533">
        <v>2025</v>
      </c>
      <c r="E533" cm="1">
        <f t="array" ref="E533">_xlfn.XLOOKUP(Table2[[#This Row],[college]]&amp;Table2[[#This Row],[division]]&amp;Table2[[#This Row],[year]],
Teams[college]&amp;Teams[division]&amp;Teams[year],
Teams[placing], "NA")</f>
        <v>5</v>
      </c>
      <c r="F533" s="1" cm="1">
        <f t="array" ref="F533">_xlfn.XLOOKUP(Table2[[#This Row],[college]]&amp;Table2[[#This Row],[division]]&amp;Table2[[#This Row],[year]],
Teams[college]&amp;Teams[division]&amp;Teams[year],
Teams[finish], "NA")</f>
        <v>0.59027777777777779</v>
      </c>
    </row>
    <row r="534" spans="1:6" x14ac:dyDescent="0.3">
      <c r="A534" t="s">
        <v>502</v>
      </c>
      <c r="B534" t="s">
        <v>123</v>
      </c>
      <c r="C534">
        <v>5</v>
      </c>
      <c r="D534">
        <v>2022</v>
      </c>
      <c r="E534" cm="1">
        <f t="array" ref="E534">_xlfn.XLOOKUP(Table2[[#This Row],[college]]&amp;Table2[[#This Row],[division]]&amp;Table2[[#This Row],[year]],
Teams[college]&amp;Teams[division]&amp;Teams[year],
Teams[placing], "NA")</f>
        <v>1</v>
      </c>
      <c r="F534" s="1" cm="1">
        <f t="array" ref="F534">_xlfn.XLOOKUP(Table2[[#This Row],[college]]&amp;Table2[[#This Row],[division]]&amp;Table2[[#This Row],[year]],
Teams[college]&amp;Teams[division]&amp;Teams[year],
Teams[finish], "NA")</f>
        <v>0.44305555555555554</v>
      </c>
    </row>
    <row r="535" spans="1:6" x14ac:dyDescent="0.3">
      <c r="A535" t="s">
        <v>502</v>
      </c>
      <c r="B535" t="s">
        <v>123</v>
      </c>
      <c r="C535">
        <v>4</v>
      </c>
      <c r="D535">
        <v>2024</v>
      </c>
      <c r="E535" cm="1">
        <f t="array" ref="E535">_xlfn.XLOOKUP(Table2[[#This Row],[college]]&amp;Table2[[#This Row],[division]]&amp;Table2[[#This Row],[year]],
Teams[college]&amp;Teams[division]&amp;Teams[year],
Teams[placing], "NA")</f>
        <v>1</v>
      </c>
      <c r="F535" s="1" cm="1">
        <f t="array" ref="F535">_xlfn.XLOOKUP(Table2[[#This Row],[college]]&amp;Table2[[#This Row],[division]]&amp;Table2[[#This Row],[year]],
Teams[college]&amp;Teams[division]&amp;Teams[year],
Teams[finish], "NA")</f>
        <v>0.60347222222222219</v>
      </c>
    </row>
    <row r="536" spans="1:6" x14ac:dyDescent="0.3">
      <c r="A536" t="s">
        <v>502</v>
      </c>
      <c r="B536" t="s">
        <v>123</v>
      </c>
      <c r="C536">
        <v>5</v>
      </c>
      <c r="D536">
        <v>2023</v>
      </c>
      <c r="E536" cm="1">
        <f t="array" ref="E536">_xlfn.XLOOKUP(Table2[[#This Row],[college]]&amp;Table2[[#This Row],[division]]&amp;Table2[[#This Row],[year]],
Teams[college]&amp;Teams[division]&amp;Teams[year],
Teams[placing], "NA")</f>
        <v>7</v>
      </c>
      <c r="F536" s="1" cm="1">
        <f t="array" ref="F536">_xlfn.XLOOKUP(Table2[[#This Row],[college]]&amp;Table2[[#This Row],[division]]&amp;Table2[[#This Row],[year]],
Teams[college]&amp;Teams[division]&amp;Teams[year],
Teams[finish], "NA")</f>
        <v>0.67777777777777781</v>
      </c>
    </row>
    <row r="537" spans="1:6" x14ac:dyDescent="0.3">
      <c r="A537" t="s">
        <v>491</v>
      </c>
      <c r="B537" t="s">
        <v>48</v>
      </c>
      <c r="C537">
        <v>1</v>
      </c>
      <c r="D537">
        <v>2024</v>
      </c>
      <c r="E537" cm="1">
        <f t="array" ref="E537">_xlfn.XLOOKUP(Table2[[#This Row],[college]]&amp;Table2[[#This Row],[division]]&amp;Table2[[#This Row],[year]],
Teams[college]&amp;Teams[division]&amp;Teams[year],
Teams[placing], "NA")</f>
        <v>3</v>
      </c>
      <c r="F537" s="1" cm="1">
        <f t="array" ref="F537">_xlfn.XLOOKUP(Table2[[#This Row],[college]]&amp;Table2[[#This Row],[division]]&amp;Table2[[#This Row],[year]],
Teams[college]&amp;Teams[division]&amp;Teams[year],
Teams[finish], "NA")</f>
        <v>0.55138888888888893</v>
      </c>
    </row>
    <row r="538" spans="1:6" x14ac:dyDescent="0.3">
      <c r="A538" t="s">
        <v>899</v>
      </c>
      <c r="B538" t="s">
        <v>266</v>
      </c>
      <c r="C538">
        <v>5</v>
      </c>
      <c r="D538">
        <v>2026</v>
      </c>
      <c r="E538" cm="1">
        <f t="array" ref="E538">_xlfn.XLOOKUP(Table2[[#This Row],[college]]&amp;Table2[[#This Row],[division]]&amp;Table2[[#This Row],[year]],
Teams[college]&amp;Teams[division]&amp;Teams[year],
Teams[placing], "NA")</f>
        <v>0</v>
      </c>
      <c r="F538" s="1" cm="1">
        <f t="array" ref="F538">_xlfn.XLOOKUP(Table2[[#This Row],[college]]&amp;Table2[[#This Row],[division]]&amp;Table2[[#This Row],[year]],
Teams[college]&amp;Teams[division]&amp;Teams[year],
Teams[finish], "NA")</f>
        <v>0</v>
      </c>
    </row>
    <row r="539" spans="1:6" x14ac:dyDescent="0.3">
      <c r="A539" t="s">
        <v>338</v>
      </c>
      <c r="B539" t="s">
        <v>132</v>
      </c>
      <c r="C539">
        <v>5</v>
      </c>
      <c r="D539">
        <v>2024</v>
      </c>
      <c r="E539" cm="1">
        <f t="array" ref="E539">_xlfn.XLOOKUP(Table2[[#This Row],[college]]&amp;Table2[[#This Row],[division]]&amp;Table2[[#This Row],[year]],
Teams[college]&amp;Teams[division]&amp;Teams[year],
Teams[placing], "NA")</f>
        <v>4</v>
      </c>
      <c r="F539" s="1" cm="1">
        <f t="array" ref="F539">_xlfn.XLOOKUP(Table2[[#This Row],[college]]&amp;Table2[[#This Row],[division]]&amp;Table2[[#This Row],[year]],
Teams[college]&amp;Teams[division]&amp;Teams[year],
Teams[finish], "NA")</f>
        <v>0.61250000000000004</v>
      </c>
    </row>
    <row r="540" spans="1:6" x14ac:dyDescent="0.3">
      <c r="A540" t="s">
        <v>481</v>
      </c>
      <c r="B540" t="s">
        <v>137</v>
      </c>
      <c r="C540">
        <v>2</v>
      </c>
      <c r="D540">
        <v>2023</v>
      </c>
      <c r="E540" cm="1">
        <f t="array" ref="E540">_xlfn.XLOOKUP(Table2[[#This Row],[college]]&amp;Table2[[#This Row],[division]]&amp;Table2[[#This Row],[year]],
Teams[college]&amp;Teams[division]&amp;Teams[year],
Teams[placing], "NA")</f>
        <v>5</v>
      </c>
      <c r="F540" s="1" cm="1">
        <f t="array" ref="F540">_xlfn.XLOOKUP(Table2[[#This Row],[college]]&amp;Table2[[#This Row],[division]]&amp;Table2[[#This Row],[year]],
Teams[college]&amp;Teams[division]&amp;Teams[year],
Teams[finish], "NA")</f>
        <v>0.59722222222222221</v>
      </c>
    </row>
    <row r="541" spans="1:6" x14ac:dyDescent="0.3">
      <c r="A541" t="s">
        <v>481</v>
      </c>
      <c r="B541" t="s">
        <v>137</v>
      </c>
      <c r="C541">
        <v>1</v>
      </c>
      <c r="D541">
        <v>2024</v>
      </c>
      <c r="E541" t="str" cm="1">
        <f t="array" ref="E541">_xlfn.XLOOKUP(Table2[[#This Row],[college]]&amp;Table2[[#This Row],[division]]&amp;Table2[[#This Row],[year]],
Teams[college]&amp;Teams[division]&amp;Teams[year],
Teams[placing], "NA")</f>
        <v>DNF</v>
      </c>
      <c r="F541" s="1" t="str" cm="1">
        <f t="array" ref="F541">_xlfn.XLOOKUP(Table2[[#This Row],[college]]&amp;Table2[[#This Row],[division]]&amp;Table2[[#This Row],[year]],
Teams[college]&amp;Teams[division]&amp;Teams[year],
Teams[finish], "NA")</f>
        <v>NA</v>
      </c>
    </row>
    <row r="542" spans="1:6" x14ac:dyDescent="0.3">
      <c r="A542" t="s">
        <v>481</v>
      </c>
      <c r="B542" t="s">
        <v>137</v>
      </c>
      <c r="C542">
        <v>3</v>
      </c>
      <c r="D542">
        <v>2022</v>
      </c>
      <c r="E542" t="str" cm="1">
        <f t="array" ref="E542">_xlfn.XLOOKUP(Table2[[#This Row],[college]]&amp;Table2[[#This Row],[division]]&amp;Table2[[#This Row],[year]],
Teams[college]&amp;Teams[division]&amp;Teams[year],
Teams[placing], "NA")</f>
        <v>DNF</v>
      </c>
      <c r="F542" s="1" t="str" cm="1">
        <f t="array" ref="F542">_xlfn.XLOOKUP(Table2[[#This Row],[college]]&amp;Table2[[#This Row],[division]]&amp;Table2[[#This Row],[year]],
Teams[college]&amp;Teams[division]&amp;Teams[year],
Teams[finish], "NA")</f>
        <v>NA</v>
      </c>
    </row>
    <row r="543" spans="1:6" x14ac:dyDescent="0.3">
      <c r="A543" t="s">
        <v>437</v>
      </c>
      <c r="B543" t="s">
        <v>266</v>
      </c>
      <c r="C543">
        <v>5</v>
      </c>
      <c r="D543">
        <v>2024</v>
      </c>
      <c r="E543" cm="1">
        <f t="array" ref="E543">_xlfn.XLOOKUP(Table2[[#This Row],[college]]&amp;Table2[[#This Row],[division]]&amp;Table2[[#This Row],[year]],
Teams[college]&amp;Teams[division]&amp;Teams[year],
Teams[placing], "NA")</f>
        <v>9</v>
      </c>
      <c r="F543" s="1" cm="1">
        <f t="array" ref="F543">_xlfn.XLOOKUP(Table2[[#This Row],[college]]&amp;Table2[[#This Row],[division]]&amp;Table2[[#This Row],[year]],
Teams[college]&amp;Teams[division]&amp;Teams[year],
Teams[finish], "NA")</f>
        <v>0.65902777777777777</v>
      </c>
    </row>
    <row r="544" spans="1:6" x14ac:dyDescent="0.3">
      <c r="A544" t="s">
        <v>727</v>
      </c>
      <c r="B544" t="s">
        <v>123</v>
      </c>
      <c r="C544">
        <v>3</v>
      </c>
      <c r="D544">
        <v>2022</v>
      </c>
      <c r="E544" cm="1">
        <f t="array" ref="E544">_xlfn.XLOOKUP(Table2[[#This Row],[college]]&amp;Table2[[#This Row],[division]]&amp;Table2[[#This Row],[year]],
Teams[college]&amp;Teams[division]&amp;Teams[year],
Teams[placing], "NA")</f>
        <v>5</v>
      </c>
      <c r="F544" s="1" cm="1">
        <f t="array" ref="F544">_xlfn.XLOOKUP(Table2[[#This Row],[college]]&amp;Table2[[#This Row],[division]]&amp;Table2[[#This Row],[year]],
Teams[college]&amp;Teams[division]&amp;Teams[year],
Teams[finish], "NA")</f>
        <v>0.61736111111111114</v>
      </c>
    </row>
    <row r="545" spans="1:6" x14ac:dyDescent="0.3">
      <c r="A545" t="s">
        <v>377</v>
      </c>
      <c r="B545" t="s">
        <v>123</v>
      </c>
      <c r="C545">
        <v>7</v>
      </c>
      <c r="D545">
        <v>2023</v>
      </c>
      <c r="E545" cm="1">
        <f t="array" ref="E545">_xlfn.XLOOKUP(Table2[[#This Row],[college]]&amp;Table2[[#This Row],[division]]&amp;Table2[[#This Row],[year]],
Teams[college]&amp;Teams[division]&amp;Teams[year],
Teams[placing], "NA")</f>
        <v>5</v>
      </c>
      <c r="F545" s="1" cm="1">
        <f t="array" ref="F545">_xlfn.XLOOKUP(Table2[[#This Row],[college]]&amp;Table2[[#This Row],[division]]&amp;Table2[[#This Row],[year]],
Teams[college]&amp;Teams[division]&amp;Teams[year],
Teams[finish], "NA")</f>
        <v>0.57777777777777772</v>
      </c>
    </row>
    <row r="546" spans="1:6" x14ac:dyDescent="0.3">
      <c r="A546" t="s">
        <v>377</v>
      </c>
      <c r="B546" t="s">
        <v>123</v>
      </c>
      <c r="C546">
        <v>7</v>
      </c>
      <c r="D546">
        <v>2024</v>
      </c>
      <c r="E546" cm="1">
        <f t="array" ref="E546">_xlfn.XLOOKUP(Table2[[#This Row],[college]]&amp;Table2[[#This Row],[division]]&amp;Table2[[#This Row],[year]],
Teams[college]&amp;Teams[division]&amp;Teams[year],
Teams[placing], "NA")</f>
        <v>8</v>
      </c>
      <c r="F546" s="1" cm="1">
        <f t="array" ref="F546">_xlfn.XLOOKUP(Table2[[#This Row],[college]]&amp;Table2[[#This Row],[division]]&amp;Table2[[#This Row],[year]],
Teams[college]&amp;Teams[division]&amp;Teams[year],
Teams[finish], "NA")</f>
        <v>0.70347222222222228</v>
      </c>
    </row>
    <row r="547" spans="1:6" x14ac:dyDescent="0.3">
      <c r="A547" t="s">
        <v>377</v>
      </c>
      <c r="B547" t="s">
        <v>5</v>
      </c>
      <c r="C547">
        <v>7</v>
      </c>
      <c r="D547">
        <v>2026</v>
      </c>
      <c r="E547" cm="1">
        <f t="array" ref="E547">_xlfn.XLOOKUP(Table2[[#This Row],[college]]&amp;Table2[[#This Row],[division]]&amp;Table2[[#This Row],[year]],
Teams[college]&amp;Teams[division]&amp;Teams[year],
Teams[placing], "NA")</f>
        <v>0</v>
      </c>
      <c r="F547" s="1" cm="1">
        <f t="array" ref="F547">_xlfn.XLOOKUP(Table2[[#This Row],[college]]&amp;Table2[[#This Row],[division]]&amp;Table2[[#This Row],[year]],
Teams[college]&amp;Teams[division]&amp;Teams[year],
Teams[finish], "NA")</f>
        <v>0</v>
      </c>
    </row>
    <row r="548" spans="1:6" x14ac:dyDescent="0.3">
      <c r="A548" t="s">
        <v>70</v>
      </c>
      <c r="B548" t="s">
        <v>5</v>
      </c>
      <c r="C548">
        <v>4</v>
      </c>
      <c r="D548">
        <v>2025</v>
      </c>
      <c r="E548" cm="1">
        <f t="array" ref="E548">_xlfn.XLOOKUP(Table2[[#This Row],[college]]&amp;Table2[[#This Row],[division]]&amp;Table2[[#This Row],[year]],
Teams[college]&amp;Teams[division]&amp;Teams[year],
Teams[placing], "NA")</f>
        <v>2</v>
      </c>
      <c r="F548" s="1" cm="1">
        <f t="array" ref="F548">_xlfn.XLOOKUP(Table2[[#This Row],[college]]&amp;Table2[[#This Row],[division]]&amp;Table2[[#This Row],[year]],
Teams[college]&amp;Teams[division]&amp;Teams[year],
Teams[finish], "NA")</f>
        <v>0.57222222222222219</v>
      </c>
    </row>
    <row r="549" spans="1:6" x14ac:dyDescent="0.3">
      <c r="A549" t="s">
        <v>70</v>
      </c>
      <c r="B549" t="s">
        <v>5</v>
      </c>
      <c r="C549">
        <v>7</v>
      </c>
      <c r="D549">
        <v>2023</v>
      </c>
      <c r="E549" cm="1">
        <f t="array" ref="E549">_xlfn.XLOOKUP(Table2[[#This Row],[college]]&amp;Table2[[#This Row],[division]]&amp;Table2[[#This Row],[year]],
Teams[college]&amp;Teams[division]&amp;Teams[year],
Teams[placing], "NA")</f>
        <v>7</v>
      </c>
      <c r="F549" s="1" cm="1">
        <f t="array" ref="F549">_xlfn.XLOOKUP(Table2[[#This Row],[college]]&amp;Table2[[#This Row],[division]]&amp;Table2[[#This Row],[year]],
Teams[college]&amp;Teams[division]&amp;Teams[year],
Teams[finish], "NA")</f>
        <v>0.59097222222222223</v>
      </c>
    </row>
    <row r="550" spans="1:6" x14ac:dyDescent="0.3">
      <c r="A550" t="s">
        <v>70</v>
      </c>
      <c r="B550" t="s">
        <v>5</v>
      </c>
      <c r="C550">
        <v>7</v>
      </c>
      <c r="D550">
        <v>2026</v>
      </c>
      <c r="E550" cm="1">
        <f t="array" ref="E550">_xlfn.XLOOKUP(Table2[[#This Row],[college]]&amp;Table2[[#This Row],[division]]&amp;Table2[[#This Row],[year]],
Teams[college]&amp;Teams[division]&amp;Teams[year],
Teams[placing], "NA")</f>
        <v>0</v>
      </c>
      <c r="F550" s="1" cm="1">
        <f t="array" ref="F550">_xlfn.XLOOKUP(Table2[[#This Row],[college]]&amp;Table2[[#This Row],[division]]&amp;Table2[[#This Row],[year]],
Teams[college]&amp;Teams[division]&amp;Teams[year],
Teams[finish], "NA")</f>
        <v>0</v>
      </c>
    </row>
    <row r="551" spans="1:6" x14ac:dyDescent="0.3">
      <c r="A551" t="s">
        <v>252</v>
      </c>
      <c r="B551" t="s">
        <v>250</v>
      </c>
      <c r="C551">
        <v>3</v>
      </c>
      <c r="D551">
        <v>2025</v>
      </c>
      <c r="E551" cm="1">
        <f t="array" ref="E551">_xlfn.XLOOKUP(Table2[[#This Row],[college]]&amp;Table2[[#This Row],[division]]&amp;Table2[[#This Row],[year]],
Teams[college]&amp;Teams[division]&amp;Teams[year],
Teams[placing], "NA")</f>
        <v>8</v>
      </c>
      <c r="F551" s="1" cm="1">
        <f t="array" ref="F551">_xlfn.XLOOKUP(Table2[[#This Row],[college]]&amp;Table2[[#This Row],[division]]&amp;Table2[[#This Row],[year]],
Teams[college]&amp;Teams[division]&amp;Teams[year],
Teams[finish], "NA")</f>
        <v>0.64027777777777772</v>
      </c>
    </row>
    <row r="552" spans="1:6" x14ac:dyDescent="0.3">
      <c r="A552" t="s">
        <v>846</v>
      </c>
      <c r="B552" t="s">
        <v>266</v>
      </c>
      <c r="C552">
        <v>3</v>
      </c>
      <c r="D552">
        <v>2026</v>
      </c>
      <c r="E552" cm="1">
        <f t="array" ref="E552">_xlfn.XLOOKUP(Table2[[#This Row],[college]]&amp;Table2[[#This Row],[division]]&amp;Table2[[#This Row],[year]],
Teams[college]&amp;Teams[division]&amp;Teams[year],
Teams[placing], "NA")</f>
        <v>0</v>
      </c>
      <c r="F552" s="1" cm="1">
        <f t="array" ref="F552">_xlfn.XLOOKUP(Table2[[#This Row],[college]]&amp;Table2[[#This Row],[division]]&amp;Table2[[#This Row],[year]],
Teams[college]&amp;Teams[division]&amp;Teams[year],
Teams[finish], "NA")</f>
        <v>0</v>
      </c>
    </row>
    <row r="553" spans="1:6" x14ac:dyDescent="0.3">
      <c r="A553" t="s">
        <v>208</v>
      </c>
      <c r="B553" t="s">
        <v>15</v>
      </c>
      <c r="C553">
        <v>3</v>
      </c>
      <c r="D553">
        <v>2024</v>
      </c>
      <c r="E553" t="str" cm="1">
        <f t="array" ref="E553">_xlfn.XLOOKUP(Table2[[#This Row],[college]]&amp;Table2[[#This Row],[division]]&amp;Table2[[#This Row],[year]],
Teams[college]&amp;Teams[division]&amp;Teams[year],
Teams[placing], "NA")</f>
        <v>DQ</v>
      </c>
      <c r="F553" s="1" t="str" cm="1">
        <f t="array" ref="F553">_xlfn.XLOOKUP(Table2[[#This Row],[college]]&amp;Table2[[#This Row],[division]]&amp;Table2[[#This Row],[year]],
Teams[college]&amp;Teams[division]&amp;Teams[year],
Teams[finish], "NA")</f>
        <v>NA</v>
      </c>
    </row>
    <row r="554" spans="1:6" x14ac:dyDescent="0.3">
      <c r="A554" t="s">
        <v>208</v>
      </c>
      <c r="B554" t="s">
        <v>5</v>
      </c>
      <c r="C554">
        <v>2</v>
      </c>
      <c r="D554">
        <v>2025</v>
      </c>
      <c r="E554" cm="1">
        <f t="array" ref="E554">_xlfn.XLOOKUP(Table2[[#This Row],[college]]&amp;Table2[[#This Row],[division]]&amp;Table2[[#This Row],[year]],
Teams[college]&amp;Teams[division]&amp;Teams[year],
Teams[placing], "NA")</f>
        <v>1</v>
      </c>
      <c r="F554" s="1" cm="1">
        <f t="array" ref="F554">_xlfn.XLOOKUP(Table2[[#This Row],[college]]&amp;Table2[[#This Row],[division]]&amp;Table2[[#This Row],[year]],
Teams[college]&amp;Teams[division]&amp;Teams[year],
Teams[finish], "NA")</f>
        <v>0.50416666666666665</v>
      </c>
    </row>
    <row r="555" spans="1:6" x14ac:dyDescent="0.3">
      <c r="A555" t="s">
        <v>209</v>
      </c>
      <c r="B555" t="s">
        <v>5</v>
      </c>
      <c r="C555">
        <v>2</v>
      </c>
      <c r="D555">
        <v>2025</v>
      </c>
      <c r="E555" cm="1">
        <f t="array" ref="E555">_xlfn.XLOOKUP(Table2[[#This Row],[college]]&amp;Table2[[#This Row],[division]]&amp;Table2[[#This Row],[year]],
Teams[college]&amp;Teams[division]&amp;Teams[year],
Teams[placing], "NA")</f>
        <v>1</v>
      </c>
      <c r="F555" s="1" cm="1">
        <f t="array" ref="F555">_xlfn.XLOOKUP(Table2[[#This Row],[college]]&amp;Table2[[#This Row],[division]]&amp;Table2[[#This Row],[year]],
Teams[college]&amp;Teams[division]&amp;Teams[year],
Teams[finish], "NA")</f>
        <v>0.50416666666666665</v>
      </c>
    </row>
    <row r="556" spans="1:6" x14ac:dyDescent="0.3">
      <c r="A556" t="s">
        <v>209</v>
      </c>
      <c r="B556" t="s">
        <v>5</v>
      </c>
      <c r="C556">
        <v>1</v>
      </c>
      <c r="D556">
        <v>2026</v>
      </c>
      <c r="E556" cm="1">
        <f t="array" ref="E556">_xlfn.XLOOKUP(Table2[[#This Row],[college]]&amp;Table2[[#This Row],[division]]&amp;Table2[[#This Row],[year]],
Teams[college]&amp;Teams[division]&amp;Teams[year],
Teams[placing], "NA")</f>
        <v>0</v>
      </c>
      <c r="F556" s="1" cm="1">
        <f t="array" ref="F556">_xlfn.XLOOKUP(Table2[[#This Row],[college]]&amp;Table2[[#This Row],[division]]&amp;Table2[[#This Row],[year]],
Teams[college]&amp;Teams[division]&amp;Teams[year],
Teams[finish], "NA")</f>
        <v>0</v>
      </c>
    </row>
    <row r="557" spans="1:6" x14ac:dyDescent="0.3">
      <c r="A557" t="s">
        <v>310</v>
      </c>
      <c r="B557" t="s">
        <v>759</v>
      </c>
      <c r="C557">
        <v>6</v>
      </c>
      <c r="D557">
        <v>2025</v>
      </c>
      <c r="E557" t="str" cm="1">
        <f t="array" ref="E557">_xlfn.XLOOKUP(Table2[[#This Row],[college]]&amp;Table2[[#This Row],[division]]&amp;Table2[[#This Row],[year]],
Teams[college]&amp;Teams[division]&amp;Teams[year],
Teams[placing], "NA")</f>
        <v>NA</v>
      </c>
      <c r="F557" s="1" cm="1">
        <f t="array" ref="F557">_xlfn.XLOOKUP(Table2[[#This Row],[college]]&amp;Table2[[#This Row],[division]]&amp;Table2[[#This Row],[year]],
Teams[college]&amp;Teams[division]&amp;Teams[year],
Teams[finish], "NA")</f>
        <v>0.68263888888888891</v>
      </c>
    </row>
    <row r="558" spans="1:6" x14ac:dyDescent="0.3">
      <c r="A558" t="s">
        <v>775</v>
      </c>
      <c r="B558" t="s">
        <v>123</v>
      </c>
      <c r="C558">
        <v>1</v>
      </c>
      <c r="D558">
        <v>2026</v>
      </c>
      <c r="E558" cm="1">
        <f t="array" ref="E558">_xlfn.XLOOKUP(Table2[[#This Row],[college]]&amp;Table2[[#This Row],[division]]&amp;Table2[[#This Row],[year]],
Teams[college]&amp;Teams[division]&amp;Teams[year],
Teams[placing], "NA")</f>
        <v>0</v>
      </c>
      <c r="F558" s="1" cm="1">
        <f t="array" ref="F558">_xlfn.XLOOKUP(Table2[[#This Row],[college]]&amp;Table2[[#This Row],[division]]&amp;Table2[[#This Row],[year]],
Teams[college]&amp;Teams[division]&amp;Teams[year],
Teams[finish], "NA")</f>
        <v>0</v>
      </c>
    </row>
    <row r="559" spans="1:6" x14ac:dyDescent="0.3">
      <c r="A559" t="s">
        <v>692</v>
      </c>
      <c r="B559" t="s">
        <v>10</v>
      </c>
      <c r="C559">
        <v>6</v>
      </c>
      <c r="D559">
        <v>2022</v>
      </c>
      <c r="E559" cm="1">
        <f t="array" ref="E559">_xlfn.XLOOKUP(Table2[[#This Row],[college]]&amp;Table2[[#This Row],[division]]&amp;Table2[[#This Row],[year]],
Teams[college]&amp;Teams[division]&amp;Teams[year],
Teams[placing], "NA")</f>
        <v>3</v>
      </c>
      <c r="F559" s="1" cm="1">
        <f t="array" ref="F559">_xlfn.XLOOKUP(Table2[[#This Row],[college]]&amp;Table2[[#This Row],[division]]&amp;Table2[[#This Row],[year]],
Teams[college]&amp;Teams[division]&amp;Teams[year],
Teams[finish], "NA")</f>
        <v>0.49583333333333335</v>
      </c>
    </row>
    <row r="560" spans="1:6" x14ac:dyDescent="0.3">
      <c r="A560" t="s">
        <v>782</v>
      </c>
      <c r="B560" t="s">
        <v>123</v>
      </c>
      <c r="C560">
        <v>4</v>
      </c>
      <c r="D560">
        <v>2026</v>
      </c>
      <c r="E560" cm="1">
        <f t="array" ref="E560">_xlfn.XLOOKUP(Table2[[#This Row],[college]]&amp;Table2[[#This Row],[division]]&amp;Table2[[#This Row],[year]],
Teams[college]&amp;Teams[division]&amp;Teams[year],
Teams[placing], "NA")</f>
        <v>0</v>
      </c>
      <c r="F560" s="1" cm="1">
        <f t="array" ref="F560">_xlfn.XLOOKUP(Table2[[#This Row],[college]]&amp;Table2[[#This Row],[division]]&amp;Table2[[#This Row],[year]],
Teams[college]&amp;Teams[division]&amp;Teams[year],
Teams[finish], "NA")</f>
        <v>0</v>
      </c>
    </row>
    <row r="561" spans="1:6" x14ac:dyDescent="0.3">
      <c r="A561" t="s">
        <v>389</v>
      </c>
      <c r="B561" t="s">
        <v>266</v>
      </c>
      <c r="C561">
        <v>4</v>
      </c>
      <c r="D561">
        <v>2022</v>
      </c>
      <c r="E561" cm="1">
        <f t="array" ref="E561">_xlfn.XLOOKUP(Table2[[#This Row],[college]]&amp;Table2[[#This Row],[division]]&amp;Table2[[#This Row],[year]],
Teams[college]&amp;Teams[division]&amp;Teams[year],
Teams[placing], "NA")</f>
        <v>3</v>
      </c>
      <c r="F561" s="1" cm="1">
        <f t="array" ref="F561">_xlfn.XLOOKUP(Table2[[#This Row],[college]]&amp;Table2[[#This Row],[division]]&amp;Table2[[#This Row],[year]],
Teams[college]&amp;Teams[division]&amp;Teams[year],
Teams[finish], "NA")</f>
        <v>0.44791666666666669</v>
      </c>
    </row>
    <row r="562" spans="1:6" x14ac:dyDescent="0.3">
      <c r="A562" t="s">
        <v>389</v>
      </c>
      <c r="B562" t="s">
        <v>266</v>
      </c>
      <c r="C562">
        <v>4</v>
      </c>
      <c r="D562">
        <v>2023</v>
      </c>
      <c r="E562" cm="1">
        <f t="array" ref="E562">_xlfn.XLOOKUP(Table2[[#This Row],[college]]&amp;Table2[[#This Row],[division]]&amp;Table2[[#This Row],[year]],
Teams[college]&amp;Teams[division]&amp;Teams[year],
Teams[placing], "NA")</f>
        <v>2</v>
      </c>
      <c r="F562" s="1" cm="1">
        <f t="array" ref="F562">_xlfn.XLOOKUP(Table2[[#This Row],[college]]&amp;Table2[[#This Row],[division]]&amp;Table2[[#This Row],[year]],
Teams[college]&amp;Teams[division]&amp;Teams[year],
Teams[finish], "NA")</f>
        <v>0.54097222222222219</v>
      </c>
    </row>
    <row r="563" spans="1:6" x14ac:dyDescent="0.3">
      <c r="A563" t="s">
        <v>389</v>
      </c>
      <c r="B563" t="s">
        <v>266</v>
      </c>
      <c r="C563">
        <v>1</v>
      </c>
      <c r="D563">
        <v>2024</v>
      </c>
      <c r="E563" cm="1">
        <f t="array" ref="E563">_xlfn.XLOOKUP(Table2[[#This Row],[college]]&amp;Table2[[#This Row],[division]]&amp;Table2[[#This Row],[year]],
Teams[college]&amp;Teams[division]&amp;Teams[year],
Teams[placing], "NA")</f>
        <v>7</v>
      </c>
      <c r="F563" s="1" cm="1">
        <f t="array" ref="F563">_xlfn.XLOOKUP(Table2[[#This Row],[college]]&amp;Table2[[#This Row],[division]]&amp;Table2[[#This Row],[year]],
Teams[college]&amp;Teams[division]&amp;Teams[year],
Teams[finish], "NA")</f>
        <v>0.69097222222222221</v>
      </c>
    </row>
    <row r="564" spans="1:6" x14ac:dyDescent="0.3">
      <c r="A564" t="s">
        <v>792</v>
      </c>
      <c r="B564" t="s">
        <v>132</v>
      </c>
      <c r="C564">
        <v>1</v>
      </c>
      <c r="D564">
        <v>2026</v>
      </c>
      <c r="E564" cm="1">
        <f t="array" ref="E564">_xlfn.XLOOKUP(Table2[[#This Row],[college]]&amp;Table2[[#This Row],[division]]&amp;Table2[[#This Row],[year]],
Teams[college]&amp;Teams[division]&amp;Teams[year],
Teams[placing], "NA")</f>
        <v>0</v>
      </c>
      <c r="F564" s="1" cm="1">
        <f t="array" ref="F564">_xlfn.XLOOKUP(Table2[[#This Row],[college]]&amp;Table2[[#This Row],[division]]&amp;Table2[[#This Row],[year]],
Teams[college]&amp;Teams[division]&amp;Teams[year],
Teams[finish], "NA")</f>
        <v>0</v>
      </c>
    </row>
    <row r="565" spans="1:6" x14ac:dyDescent="0.3">
      <c r="A565" t="s">
        <v>447</v>
      </c>
      <c r="B565" t="s">
        <v>241</v>
      </c>
      <c r="C565">
        <v>5</v>
      </c>
      <c r="D565">
        <v>2023</v>
      </c>
      <c r="E565" cm="1">
        <f t="array" ref="E565">_xlfn.XLOOKUP(Table2[[#This Row],[college]]&amp;Table2[[#This Row],[division]]&amp;Table2[[#This Row],[year]],
Teams[college]&amp;Teams[division]&amp;Teams[year],
Teams[placing], "NA")</f>
        <v>3</v>
      </c>
      <c r="F565" s="1" cm="1">
        <f t="array" ref="F565">_xlfn.XLOOKUP(Table2[[#This Row],[college]]&amp;Table2[[#This Row],[division]]&amp;Table2[[#This Row],[year]],
Teams[college]&amp;Teams[division]&amp;Teams[year],
Teams[finish], "NA")</f>
        <v>0.61805555555555558</v>
      </c>
    </row>
    <row r="566" spans="1:6" x14ac:dyDescent="0.3">
      <c r="A566" t="s">
        <v>447</v>
      </c>
      <c r="B566" t="s">
        <v>241</v>
      </c>
      <c r="C566">
        <v>6</v>
      </c>
      <c r="D566">
        <v>2024</v>
      </c>
      <c r="E566" t="str" cm="1">
        <f t="array" ref="E566">_xlfn.XLOOKUP(Table2[[#This Row],[college]]&amp;Table2[[#This Row],[division]]&amp;Table2[[#This Row],[year]],
Teams[college]&amp;Teams[division]&amp;Teams[year],
Teams[placing], "NA")</f>
        <v>DNF</v>
      </c>
      <c r="F566" s="1" t="str" cm="1">
        <f t="array" ref="F566">_xlfn.XLOOKUP(Table2[[#This Row],[college]]&amp;Table2[[#This Row],[division]]&amp;Table2[[#This Row],[year]],
Teams[college]&amp;Teams[division]&amp;Teams[year],
Teams[finish], "NA")</f>
        <v>NA</v>
      </c>
    </row>
    <row r="567" spans="1:6" x14ac:dyDescent="0.3">
      <c r="A567" t="s">
        <v>253</v>
      </c>
      <c r="B567" t="s">
        <v>250</v>
      </c>
      <c r="C567">
        <v>3</v>
      </c>
      <c r="D567">
        <v>2025</v>
      </c>
      <c r="E567" cm="1">
        <f t="array" ref="E567">_xlfn.XLOOKUP(Table2[[#This Row],[college]]&amp;Table2[[#This Row],[division]]&amp;Table2[[#This Row],[year]],
Teams[college]&amp;Teams[division]&amp;Teams[year],
Teams[placing], "NA")</f>
        <v>8</v>
      </c>
      <c r="F567" s="1" cm="1">
        <f t="array" ref="F567">_xlfn.XLOOKUP(Table2[[#This Row],[college]]&amp;Table2[[#This Row],[division]]&amp;Table2[[#This Row],[year]],
Teams[college]&amp;Teams[division]&amp;Teams[year],
Teams[finish], "NA")</f>
        <v>0.64027777777777772</v>
      </c>
    </row>
    <row r="568" spans="1:6" x14ac:dyDescent="0.3">
      <c r="A568" t="s">
        <v>477</v>
      </c>
      <c r="B568" t="s">
        <v>48</v>
      </c>
      <c r="C568">
        <v>6</v>
      </c>
      <c r="D568">
        <v>2024</v>
      </c>
      <c r="E568" t="str" cm="1">
        <f t="array" ref="E568">_xlfn.XLOOKUP(Table2[[#This Row],[college]]&amp;Table2[[#This Row],[division]]&amp;Table2[[#This Row],[year]],
Teams[college]&amp;Teams[division]&amp;Teams[year],
Teams[placing], "NA")</f>
        <v>DNF</v>
      </c>
      <c r="F568" s="1" t="str" cm="1">
        <f t="array" ref="F568">_xlfn.XLOOKUP(Table2[[#This Row],[college]]&amp;Table2[[#This Row],[division]]&amp;Table2[[#This Row],[year]],
Teams[college]&amp;Teams[division]&amp;Teams[year],
Teams[finish], "NA")</f>
        <v>NA</v>
      </c>
    </row>
    <row r="569" spans="1:6" x14ac:dyDescent="0.3">
      <c r="A569" t="s">
        <v>598</v>
      </c>
      <c r="B569" t="s">
        <v>10</v>
      </c>
      <c r="C569">
        <v>6</v>
      </c>
      <c r="D569">
        <v>2023</v>
      </c>
      <c r="E569" cm="1">
        <f t="array" ref="E569">_xlfn.XLOOKUP(Table2[[#This Row],[college]]&amp;Table2[[#This Row],[division]]&amp;Table2[[#This Row],[year]],
Teams[college]&amp;Teams[division]&amp;Teams[year],
Teams[placing], "NA")</f>
        <v>4</v>
      </c>
      <c r="F569" s="1" cm="1">
        <f t="array" ref="F569">_xlfn.XLOOKUP(Table2[[#This Row],[college]]&amp;Table2[[#This Row],[division]]&amp;Table2[[#This Row],[year]],
Teams[college]&amp;Teams[division]&amp;Teams[year],
Teams[finish], "NA")</f>
        <v>0.65833333333333333</v>
      </c>
    </row>
    <row r="570" spans="1:6" x14ac:dyDescent="0.3">
      <c r="A570" t="s">
        <v>89</v>
      </c>
      <c r="B570" t="s">
        <v>756</v>
      </c>
      <c r="C570">
        <v>5</v>
      </c>
      <c r="D570">
        <v>2025</v>
      </c>
      <c r="E570" t="str" cm="1">
        <f t="array" ref="E570">_xlfn.XLOOKUP(Table2[[#This Row],[college]]&amp;Table2[[#This Row],[division]]&amp;Table2[[#This Row],[year]],
Teams[college]&amp;Teams[division]&amp;Teams[year],
Teams[placing], "NA")</f>
        <v>NA</v>
      </c>
      <c r="F570" s="1" cm="1">
        <f t="array" ref="F570">_xlfn.XLOOKUP(Table2[[#This Row],[college]]&amp;Table2[[#This Row],[division]]&amp;Table2[[#This Row],[year]],
Teams[college]&amp;Teams[division]&amp;Teams[year],
Teams[finish], "NA")</f>
        <v>0.52708333333333335</v>
      </c>
    </row>
    <row r="571" spans="1:6" x14ac:dyDescent="0.3">
      <c r="A571" t="s">
        <v>89</v>
      </c>
      <c r="B571" t="s">
        <v>755</v>
      </c>
      <c r="C571">
        <v>5</v>
      </c>
      <c r="D571">
        <v>2023</v>
      </c>
      <c r="E571" t="str" cm="1">
        <f t="array" ref="E571">_xlfn.XLOOKUP(Table2[[#This Row],[college]]&amp;Table2[[#This Row],[division]]&amp;Table2[[#This Row],[year]],
Teams[college]&amp;Teams[division]&amp;Teams[year],
Teams[placing], "NA")</f>
        <v>NA</v>
      </c>
      <c r="F571" s="1" cm="1">
        <f t="array" ref="F571">_xlfn.XLOOKUP(Table2[[#This Row],[college]]&amp;Table2[[#This Row],[division]]&amp;Table2[[#This Row],[year]],
Teams[college]&amp;Teams[division]&amp;Teams[year],
Teams[finish], "NA")</f>
        <v>0.63124999999999998</v>
      </c>
    </row>
    <row r="572" spans="1:6" x14ac:dyDescent="0.3">
      <c r="A572" t="s">
        <v>641</v>
      </c>
      <c r="B572" t="s">
        <v>137</v>
      </c>
      <c r="C572">
        <v>7</v>
      </c>
      <c r="D572">
        <v>2023</v>
      </c>
      <c r="E572" cm="1">
        <f t="array" ref="E572">_xlfn.XLOOKUP(Table2[[#This Row],[college]]&amp;Table2[[#This Row],[division]]&amp;Table2[[#This Row],[year]],
Teams[college]&amp;Teams[division]&amp;Teams[year],
Teams[placing], "NA")</f>
        <v>3</v>
      </c>
      <c r="F572" s="1" cm="1">
        <f t="array" ref="F572">_xlfn.XLOOKUP(Table2[[#This Row],[college]]&amp;Table2[[#This Row],[division]]&amp;Table2[[#This Row],[year]],
Teams[college]&amp;Teams[division]&amp;Teams[year],
Teams[finish], "NA")</f>
        <v>0.55347222222222225</v>
      </c>
    </row>
    <row r="573" spans="1:6" x14ac:dyDescent="0.3">
      <c r="A573" t="s">
        <v>707</v>
      </c>
      <c r="B573" t="s">
        <v>48</v>
      </c>
      <c r="C573">
        <v>6</v>
      </c>
      <c r="D573">
        <v>2022</v>
      </c>
      <c r="E573" cm="1">
        <f t="array" ref="E573">_xlfn.XLOOKUP(Table2[[#This Row],[college]]&amp;Table2[[#This Row],[division]]&amp;Table2[[#This Row],[year]],
Teams[college]&amp;Teams[division]&amp;Teams[year],
Teams[placing], "NA")</f>
        <v>7</v>
      </c>
      <c r="F573" s="1" cm="1">
        <f t="array" ref="F573">_xlfn.XLOOKUP(Table2[[#This Row],[college]]&amp;Table2[[#This Row],[division]]&amp;Table2[[#This Row],[year]],
Teams[college]&amp;Teams[division]&amp;Teams[year],
Teams[finish], "NA")</f>
        <v>0.64305555555555549</v>
      </c>
    </row>
    <row r="574" spans="1:6" x14ac:dyDescent="0.3">
      <c r="A574" t="s">
        <v>547</v>
      </c>
      <c r="B574" t="s">
        <v>15</v>
      </c>
      <c r="C574">
        <v>2</v>
      </c>
      <c r="D574">
        <v>2023</v>
      </c>
      <c r="E574" cm="1">
        <f t="array" ref="E574">_xlfn.XLOOKUP(Table2[[#This Row],[college]]&amp;Table2[[#This Row],[division]]&amp;Table2[[#This Row],[year]],
Teams[college]&amp;Teams[division]&amp;Teams[year],
Teams[placing], "NA")</f>
        <v>2</v>
      </c>
      <c r="F574" s="1" cm="1">
        <f t="array" ref="F574">_xlfn.XLOOKUP(Table2[[#This Row],[college]]&amp;Table2[[#This Row],[division]]&amp;Table2[[#This Row],[year]],
Teams[college]&amp;Teams[division]&amp;Teams[year],
Teams[finish], "NA")</f>
        <v>0.49305555555555558</v>
      </c>
    </row>
    <row r="575" spans="1:6" x14ac:dyDescent="0.3">
      <c r="A575" t="s">
        <v>352</v>
      </c>
      <c r="B575" t="s">
        <v>15</v>
      </c>
      <c r="C575">
        <v>6</v>
      </c>
      <c r="D575">
        <v>2024</v>
      </c>
      <c r="E575" cm="1">
        <f t="array" ref="E575">_xlfn.XLOOKUP(Table2[[#This Row],[college]]&amp;Table2[[#This Row],[division]]&amp;Table2[[#This Row],[year]],
Teams[college]&amp;Teams[division]&amp;Teams[year],
Teams[placing], "NA")</f>
        <v>3</v>
      </c>
      <c r="F575" s="1" cm="1">
        <f t="array" ref="F575">_xlfn.XLOOKUP(Table2[[#This Row],[college]]&amp;Table2[[#This Row],[division]]&amp;Table2[[#This Row],[year]],
Teams[college]&amp;Teams[division]&amp;Teams[year],
Teams[finish], "NA")</f>
        <v>0.61250000000000004</v>
      </c>
    </row>
    <row r="576" spans="1:6" x14ac:dyDescent="0.3">
      <c r="A576" t="s">
        <v>629</v>
      </c>
      <c r="B576" t="s">
        <v>250</v>
      </c>
      <c r="C576">
        <v>3</v>
      </c>
      <c r="D576">
        <v>2023</v>
      </c>
      <c r="E576" cm="1">
        <f t="array" ref="E576">_xlfn.XLOOKUP(Table2[[#This Row],[college]]&amp;Table2[[#This Row],[division]]&amp;Table2[[#This Row],[year]],
Teams[college]&amp;Teams[division]&amp;Teams[year],
Teams[placing], "NA")</f>
        <v>2</v>
      </c>
      <c r="F576" s="1" cm="1">
        <f t="array" ref="F576">_xlfn.XLOOKUP(Table2[[#This Row],[college]]&amp;Table2[[#This Row],[division]]&amp;Table2[[#This Row],[year]],
Teams[college]&amp;Teams[division]&amp;Teams[year],
Teams[finish], "NA")</f>
        <v>0.59375</v>
      </c>
    </row>
    <row r="577" spans="1:6" x14ac:dyDescent="0.3">
      <c r="A577" t="s">
        <v>527</v>
      </c>
      <c r="B577" t="s">
        <v>19</v>
      </c>
      <c r="C577">
        <v>7</v>
      </c>
      <c r="D577">
        <v>2023</v>
      </c>
      <c r="E577" cm="1">
        <f t="array" ref="E577">_xlfn.XLOOKUP(Table2[[#This Row],[college]]&amp;Table2[[#This Row],[division]]&amp;Table2[[#This Row],[year]],
Teams[college]&amp;Teams[division]&amp;Teams[year],
Teams[placing], "NA")</f>
        <v>9</v>
      </c>
      <c r="F577" s="1" cm="1">
        <f t="array" ref="F577">_xlfn.XLOOKUP(Table2[[#This Row],[college]]&amp;Table2[[#This Row],[division]]&amp;Table2[[#This Row],[year]],
Teams[college]&amp;Teams[division]&amp;Teams[year],
Teams[finish], "NA")</f>
        <v>0.61458333333333337</v>
      </c>
    </row>
    <row r="578" spans="1:6" x14ac:dyDescent="0.3">
      <c r="A578" t="s">
        <v>31</v>
      </c>
      <c r="B578" t="s">
        <v>19</v>
      </c>
      <c r="C578">
        <v>6</v>
      </c>
      <c r="D578">
        <v>2025</v>
      </c>
      <c r="E578" cm="1">
        <f t="array" ref="E578">_xlfn.XLOOKUP(Table2[[#This Row],[college]]&amp;Table2[[#This Row],[division]]&amp;Table2[[#This Row],[year]],
Teams[college]&amp;Teams[division]&amp;Teams[year],
Teams[placing], "NA")</f>
        <v>4</v>
      </c>
      <c r="F578" s="1" cm="1">
        <f t="array" ref="F578">_xlfn.XLOOKUP(Table2[[#This Row],[college]]&amp;Table2[[#This Row],[division]]&amp;Table2[[#This Row],[year]],
Teams[college]&amp;Teams[division]&amp;Teams[year],
Teams[finish], "NA")</f>
        <v>0.54861111111111116</v>
      </c>
    </row>
    <row r="579" spans="1:6" x14ac:dyDescent="0.3">
      <c r="A579" t="s">
        <v>971</v>
      </c>
      <c r="B579" t="s">
        <v>19</v>
      </c>
      <c r="C579">
        <v>7</v>
      </c>
      <c r="D579">
        <v>2026</v>
      </c>
      <c r="E579" cm="1">
        <f t="array" ref="E579">_xlfn.XLOOKUP(Table2[[#This Row],[college]]&amp;Table2[[#This Row],[division]]&amp;Table2[[#This Row],[year]],
Teams[college]&amp;Teams[division]&amp;Teams[year],
Teams[placing], "NA")</f>
        <v>0</v>
      </c>
      <c r="F579" s="1" cm="1">
        <f t="array" ref="F579">_xlfn.XLOOKUP(Table2[[#This Row],[college]]&amp;Table2[[#This Row],[division]]&amp;Table2[[#This Row],[year]],
Teams[college]&amp;Teams[division]&amp;Teams[year],
Teams[finish], "NA")</f>
        <v>0</v>
      </c>
    </row>
    <row r="580" spans="1:6" x14ac:dyDescent="0.3">
      <c r="A580" t="s">
        <v>702</v>
      </c>
      <c r="B580" t="s">
        <v>10</v>
      </c>
      <c r="C580">
        <v>5</v>
      </c>
      <c r="D580">
        <v>2022</v>
      </c>
      <c r="E580" cm="1">
        <f t="array" ref="E580">_xlfn.XLOOKUP(Table2[[#This Row],[college]]&amp;Table2[[#This Row],[division]]&amp;Table2[[#This Row],[year]],
Teams[college]&amp;Teams[division]&amp;Teams[year],
Teams[placing], "NA")</f>
        <v>5</v>
      </c>
      <c r="F580" s="1" cm="1">
        <f t="array" ref="F580">_xlfn.XLOOKUP(Table2[[#This Row],[college]]&amp;Table2[[#This Row],[division]]&amp;Table2[[#This Row],[year]],
Teams[college]&amp;Teams[division]&amp;Teams[year],
Teams[finish], "NA")</f>
        <v>0.53333333333333333</v>
      </c>
    </row>
    <row r="581" spans="1:6" x14ac:dyDescent="0.3">
      <c r="A581" t="s">
        <v>118</v>
      </c>
      <c r="B581" t="s">
        <v>19</v>
      </c>
      <c r="C581">
        <v>7</v>
      </c>
      <c r="D581">
        <v>2025</v>
      </c>
      <c r="E581" cm="1">
        <f t="array" ref="E581">_xlfn.XLOOKUP(Table2[[#This Row],[college]]&amp;Table2[[#This Row],[division]]&amp;Table2[[#This Row],[year]],
Teams[college]&amp;Teams[division]&amp;Teams[year],
Teams[placing], "NA")</f>
        <v>4</v>
      </c>
      <c r="F581" s="1" cm="1">
        <f t="array" ref="F581">_xlfn.XLOOKUP(Table2[[#This Row],[college]]&amp;Table2[[#This Row],[division]]&amp;Table2[[#This Row],[year]],
Teams[college]&amp;Teams[division]&amp;Teams[year],
Teams[finish], "NA")</f>
        <v>0.50555555555555554</v>
      </c>
    </row>
    <row r="582" spans="1:6" x14ac:dyDescent="0.3">
      <c r="A582" t="s">
        <v>147</v>
      </c>
      <c r="B582" t="s">
        <v>132</v>
      </c>
      <c r="C582">
        <v>3</v>
      </c>
      <c r="D582">
        <v>2025</v>
      </c>
      <c r="E582" cm="1">
        <f t="array" ref="E582">_xlfn.XLOOKUP(Table2[[#This Row],[college]]&amp;Table2[[#This Row],[division]]&amp;Table2[[#This Row],[year]],
Teams[college]&amp;Teams[division]&amp;Teams[year],
Teams[placing], "NA")</f>
        <v>4</v>
      </c>
      <c r="F582" s="1" cm="1">
        <f t="array" ref="F582">_xlfn.XLOOKUP(Table2[[#This Row],[college]]&amp;Table2[[#This Row],[division]]&amp;Table2[[#This Row],[year]],
Teams[college]&amp;Teams[division]&amp;Teams[year],
Teams[finish], "NA")</f>
        <v>0.53541666666666665</v>
      </c>
    </row>
    <row r="583" spans="1:6" x14ac:dyDescent="0.3">
      <c r="A583" t="s">
        <v>695</v>
      </c>
      <c r="B583" t="s">
        <v>5</v>
      </c>
      <c r="C583">
        <v>4</v>
      </c>
      <c r="D583">
        <v>2022</v>
      </c>
      <c r="E583" cm="1">
        <f t="array" ref="E583">_xlfn.XLOOKUP(Table2[[#This Row],[college]]&amp;Table2[[#This Row],[division]]&amp;Table2[[#This Row],[year]],
Teams[college]&amp;Teams[division]&amp;Teams[year],
Teams[placing], "NA")</f>
        <v>4</v>
      </c>
      <c r="F583" s="1" cm="1">
        <f t="array" ref="F583">_xlfn.XLOOKUP(Table2[[#This Row],[college]]&amp;Table2[[#This Row],[division]]&amp;Table2[[#This Row],[year]],
Teams[college]&amp;Teams[division]&amp;Teams[year],
Teams[finish], "NA")</f>
        <v>0.55694444444444446</v>
      </c>
    </row>
    <row r="584" spans="1:6" x14ac:dyDescent="0.3">
      <c r="A584" t="s">
        <v>464</v>
      </c>
      <c r="B584" t="s">
        <v>266</v>
      </c>
      <c r="C584">
        <v>7</v>
      </c>
      <c r="D584">
        <v>2022</v>
      </c>
      <c r="E584" cm="1">
        <f t="array" ref="E584">_xlfn.XLOOKUP(Table2[[#This Row],[college]]&amp;Table2[[#This Row],[division]]&amp;Table2[[#This Row],[year]],
Teams[college]&amp;Teams[division]&amp;Teams[year],
Teams[placing], "NA")</f>
        <v>8</v>
      </c>
      <c r="F584" s="1" cm="1">
        <f t="array" ref="F584">_xlfn.XLOOKUP(Table2[[#This Row],[college]]&amp;Table2[[#This Row],[division]]&amp;Table2[[#This Row],[year]],
Teams[college]&amp;Teams[division]&amp;Teams[year],
Teams[finish], "NA")</f>
        <v>0.49791666666666667</v>
      </c>
    </row>
    <row r="585" spans="1:6" x14ac:dyDescent="0.3">
      <c r="A585" t="s">
        <v>464</v>
      </c>
      <c r="B585" t="s">
        <v>755</v>
      </c>
      <c r="C585">
        <v>5</v>
      </c>
      <c r="D585">
        <v>2024</v>
      </c>
      <c r="E585" t="str" cm="1">
        <f t="array" ref="E585">_xlfn.XLOOKUP(Table2[[#This Row],[college]]&amp;Table2[[#This Row],[division]]&amp;Table2[[#This Row],[year]],
Teams[college]&amp;Teams[division]&amp;Teams[year],
Teams[placing], "NA")</f>
        <v>NA</v>
      </c>
      <c r="F585" s="1" cm="1">
        <f t="array" ref="F585">_xlfn.XLOOKUP(Table2[[#This Row],[college]]&amp;Table2[[#This Row],[division]]&amp;Table2[[#This Row],[year]],
Teams[college]&amp;Teams[division]&amp;Teams[year],
Teams[finish], "NA")</f>
        <v>0.60069444444444442</v>
      </c>
    </row>
    <row r="586" spans="1:6" x14ac:dyDescent="0.3">
      <c r="A586" t="s">
        <v>464</v>
      </c>
      <c r="B586" t="s">
        <v>266</v>
      </c>
      <c r="C586">
        <v>5</v>
      </c>
      <c r="D586">
        <v>2023</v>
      </c>
      <c r="E586" cm="1">
        <f t="array" ref="E586">_xlfn.XLOOKUP(Table2[[#This Row],[college]]&amp;Table2[[#This Row],[division]]&amp;Table2[[#This Row],[year]],
Teams[college]&amp;Teams[division]&amp;Teams[year],
Teams[placing], "NA")</f>
        <v>4</v>
      </c>
      <c r="F586" s="1" cm="1">
        <f t="array" ref="F586">_xlfn.XLOOKUP(Table2[[#This Row],[college]]&amp;Table2[[#This Row],[division]]&amp;Table2[[#This Row],[year]],
Teams[college]&amp;Teams[division]&amp;Teams[year],
Teams[finish], "NA")</f>
        <v>0.62083333333333335</v>
      </c>
    </row>
    <row r="587" spans="1:6" x14ac:dyDescent="0.3">
      <c r="A587" t="s">
        <v>66</v>
      </c>
      <c r="B587" t="s">
        <v>19</v>
      </c>
      <c r="C587">
        <v>5</v>
      </c>
      <c r="D587">
        <v>2023</v>
      </c>
      <c r="E587" cm="1">
        <f t="array" ref="E587">_xlfn.XLOOKUP(Table2[[#This Row],[college]]&amp;Table2[[#This Row],[division]]&amp;Table2[[#This Row],[year]],
Teams[college]&amp;Teams[division]&amp;Teams[year],
Teams[placing], "NA")</f>
        <v>1</v>
      </c>
      <c r="F587" s="1" cm="1">
        <f t="array" ref="F587">_xlfn.XLOOKUP(Table2[[#This Row],[college]]&amp;Table2[[#This Row],[division]]&amp;Table2[[#This Row],[year]],
Teams[college]&amp;Teams[division]&amp;Teams[year],
Teams[finish], "NA")</f>
        <v>0.55625000000000002</v>
      </c>
    </row>
    <row r="588" spans="1:6" x14ac:dyDescent="0.3">
      <c r="A588" t="s">
        <v>66</v>
      </c>
      <c r="B588" t="s">
        <v>758</v>
      </c>
      <c r="C588">
        <v>5</v>
      </c>
      <c r="D588">
        <v>2025</v>
      </c>
      <c r="E588" t="str" cm="1">
        <f t="array" ref="E588">_xlfn.XLOOKUP(Table2[[#This Row],[college]]&amp;Table2[[#This Row],[division]]&amp;Table2[[#This Row],[year]],
Teams[college]&amp;Teams[division]&amp;Teams[year],
Teams[placing], "NA")</f>
        <v>NA</v>
      </c>
      <c r="F588" s="1" cm="1">
        <f t="array" ref="F588">_xlfn.XLOOKUP(Table2[[#This Row],[college]]&amp;Table2[[#This Row],[division]]&amp;Table2[[#This Row],[year]],
Teams[college]&amp;Teams[division]&amp;Teams[year],
Teams[finish], "NA")</f>
        <v>0.63611111111111107</v>
      </c>
    </row>
    <row r="589" spans="1:6" x14ac:dyDescent="0.3">
      <c r="A589" t="s">
        <v>66</v>
      </c>
      <c r="B589" t="s">
        <v>755</v>
      </c>
      <c r="C589">
        <v>2</v>
      </c>
      <c r="D589">
        <v>2024</v>
      </c>
      <c r="E589" t="str" cm="1">
        <f t="array" ref="E589">_xlfn.XLOOKUP(Table2[[#This Row],[college]]&amp;Table2[[#This Row],[division]]&amp;Table2[[#This Row],[year]],
Teams[college]&amp;Teams[division]&amp;Teams[year],
Teams[placing], "NA")</f>
        <v>DNF</v>
      </c>
      <c r="F589" s="1" t="str" cm="1">
        <f t="array" ref="F589">_xlfn.XLOOKUP(Table2[[#This Row],[college]]&amp;Table2[[#This Row],[division]]&amp;Table2[[#This Row],[year]],
Teams[college]&amp;Teams[division]&amp;Teams[year],
Teams[finish], "NA")</f>
        <v>NA</v>
      </c>
    </row>
    <row r="590" spans="1:6" x14ac:dyDescent="0.3">
      <c r="A590" t="s">
        <v>900</v>
      </c>
      <c r="B590" t="s">
        <v>250</v>
      </c>
      <c r="C590">
        <v>5</v>
      </c>
      <c r="D590">
        <v>2026</v>
      </c>
      <c r="E590" cm="1">
        <f t="array" ref="E590">_xlfn.XLOOKUP(Table2[[#This Row],[college]]&amp;Table2[[#This Row],[division]]&amp;Table2[[#This Row],[year]],
Teams[college]&amp;Teams[division]&amp;Teams[year],
Teams[placing], "NA")</f>
        <v>0</v>
      </c>
      <c r="F590" s="1" cm="1">
        <f t="array" ref="F590">_xlfn.XLOOKUP(Table2[[#This Row],[college]]&amp;Table2[[#This Row],[division]]&amp;Table2[[#This Row],[year]],
Teams[college]&amp;Teams[division]&amp;Teams[year],
Teams[finish], "NA")</f>
        <v>0</v>
      </c>
    </row>
    <row r="591" spans="1:6" x14ac:dyDescent="0.3">
      <c r="A591" t="s">
        <v>58</v>
      </c>
      <c r="B591" t="s">
        <v>19</v>
      </c>
      <c r="C591">
        <v>5</v>
      </c>
      <c r="D591">
        <v>2025</v>
      </c>
      <c r="E591" cm="1">
        <f t="array" ref="E591">_xlfn.XLOOKUP(Table2[[#This Row],[college]]&amp;Table2[[#This Row],[division]]&amp;Table2[[#This Row],[year]],
Teams[college]&amp;Teams[division]&amp;Teams[year],
Teams[placing], "NA")</f>
        <v>9</v>
      </c>
      <c r="F591" s="1" cm="1">
        <f t="array" ref="F591">_xlfn.XLOOKUP(Table2[[#This Row],[college]]&amp;Table2[[#This Row],[division]]&amp;Table2[[#This Row],[year]],
Teams[college]&amp;Teams[division]&amp;Teams[year],
Teams[finish], "NA")</f>
        <v>0.5756944444444444</v>
      </c>
    </row>
    <row r="592" spans="1:6" x14ac:dyDescent="0.3">
      <c r="A592" t="s">
        <v>58</v>
      </c>
      <c r="B592" t="s">
        <v>19</v>
      </c>
      <c r="C592">
        <v>4</v>
      </c>
      <c r="D592">
        <v>2023</v>
      </c>
      <c r="E592" cm="1">
        <f t="array" ref="E592">_xlfn.XLOOKUP(Table2[[#This Row],[college]]&amp;Table2[[#This Row],[division]]&amp;Table2[[#This Row],[year]],
Teams[college]&amp;Teams[division]&amp;Teams[year],
Teams[placing], "NA")</f>
        <v>7</v>
      </c>
      <c r="F592" s="1" cm="1">
        <f t="array" ref="F592">_xlfn.XLOOKUP(Table2[[#This Row],[college]]&amp;Table2[[#This Row],[division]]&amp;Table2[[#This Row],[year]],
Teams[college]&amp;Teams[division]&amp;Teams[year],
Teams[finish], "NA")</f>
        <v>0.66249999999999998</v>
      </c>
    </row>
    <row r="593" spans="1:6" x14ac:dyDescent="0.3">
      <c r="A593" t="s">
        <v>162</v>
      </c>
      <c r="B593" t="s">
        <v>137</v>
      </c>
      <c r="C593">
        <v>3</v>
      </c>
      <c r="D593">
        <v>2025</v>
      </c>
      <c r="E593" cm="1">
        <f t="array" ref="E593">_xlfn.XLOOKUP(Table2[[#This Row],[college]]&amp;Table2[[#This Row],[division]]&amp;Table2[[#This Row],[year]],
Teams[college]&amp;Teams[division]&amp;Teams[year],
Teams[placing], "NA")</f>
        <v>1</v>
      </c>
      <c r="F593" s="1" cm="1">
        <f t="array" ref="F593">_xlfn.XLOOKUP(Table2[[#This Row],[college]]&amp;Table2[[#This Row],[division]]&amp;Table2[[#This Row],[year]],
Teams[college]&amp;Teams[division]&amp;Teams[year],
Teams[finish], "NA")</f>
        <v>0.50277777777777777</v>
      </c>
    </row>
    <row r="594" spans="1:6" x14ac:dyDescent="0.3">
      <c r="A594" t="s">
        <v>162</v>
      </c>
      <c r="B594" t="s">
        <v>137</v>
      </c>
      <c r="C594">
        <v>6</v>
      </c>
      <c r="D594">
        <v>2024</v>
      </c>
      <c r="E594" cm="1">
        <f t="array" ref="E594">_xlfn.XLOOKUP(Table2[[#This Row],[college]]&amp;Table2[[#This Row],[division]]&amp;Table2[[#This Row],[year]],
Teams[college]&amp;Teams[division]&amp;Teams[year],
Teams[placing], "NA")</f>
        <v>2</v>
      </c>
      <c r="F594" s="1" cm="1">
        <f t="array" ref="F594">_xlfn.XLOOKUP(Table2[[#This Row],[college]]&amp;Table2[[#This Row],[division]]&amp;Table2[[#This Row],[year]],
Teams[college]&amp;Teams[division]&amp;Teams[year],
Teams[finish], "NA")</f>
        <v>0.61111111111111116</v>
      </c>
    </row>
    <row r="595" spans="1:6" x14ac:dyDescent="0.3">
      <c r="A595" t="s">
        <v>824</v>
      </c>
      <c r="B595" t="s">
        <v>250</v>
      </c>
      <c r="C595">
        <v>2</v>
      </c>
      <c r="D595">
        <v>2026</v>
      </c>
      <c r="E595" cm="1">
        <f t="array" ref="E595">_xlfn.XLOOKUP(Table2[[#This Row],[college]]&amp;Table2[[#This Row],[division]]&amp;Table2[[#This Row],[year]],
Teams[college]&amp;Teams[division]&amp;Teams[year],
Teams[placing], "NA")</f>
        <v>0</v>
      </c>
      <c r="F595" s="1" cm="1">
        <f t="array" ref="F595">_xlfn.XLOOKUP(Table2[[#This Row],[college]]&amp;Table2[[#This Row],[division]]&amp;Table2[[#This Row],[year]],
Teams[college]&amp;Teams[division]&amp;Teams[year],
Teams[finish], "NA")</f>
        <v>0</v>
      </c>
    </row>
    <row r="596" spans="1:6" x14ac:dyDescent="0.3">
      <c r="A596" t="s">
        <v>994</v>
      </c>
      <c r="B596" t="s">
        <v>5</v>
      </c>
      <c r="C596">
        <v>6</v>
      </c>
      <c r="D596">
        <v>2026</v>
      </c>
      <c r="E596" cm="1">
        <f t="array" ref="E596">_xlfn.XLOOKUP(Table2[[#This Row],[college]]&amp;Table2[[#This Row],[division]]&amp;Table2[[#This Row],[year]],
Teams[college]&amp;Teams[division]&amp;Teams[year],
Teams[placing], "NA")</f>
        <v>0</v>
      </c>
      <c r="F596" s="1" cm="1">
        <f t="array" ref="F596">_xlfn.XLOOKUP(Table2[[#This Row],[college]]&amp;Table2[[#This Row],[division]]&amp;Table2[[#This Row],[year]],
Teams[college]&amp;Teams[division]&amp;Teams[year],
Teams[finish], "NA")</f>
        <v>0</v>
      </c>
    </row>
    <row r="597" spans="1:6" x14ac:dyDescent="0.3">
      <c r="A597" t="s">
        <v>20</v>
      </c>
      <c r="B597" t="s">
        <v>19</v>
      </c>
      <c r="C597">
        <v>3</v>
      </c>
      <c r="D597">
        <v>2025</v>
      </c>
      <c r="E597" cm="1">
        <f t="array" ref="E597">_xlfn.XLOOKUP(Table2[[#This Row],[college]]&amp;Table2[[#This Row],[division]]&amp;Table2[[#This Row],[year]],
Teams[college]&amp;Teams[division]&amp;Teams[year],
Teams[placing], "NA")</f>
        <v>5</v>
      </c>
      <c r="F597" s="1" cm="1">
        <f t="array" ref="F597">_xlfn.XLOOKUP(Table2[[#This Row],[college]]&amp;Table2[[#This Row],[division]]&amp;Table2[[#This Row],[year]],
Teams[college]&amp;Teams[division]&amp;Teams[year],
Teams[finish], "NA")</f>
        <v>0.5708333333333333</v>
      </c>
    </row>
    <row r="598" spans="1:6" x14ac:dyDescent="0.3">
      <c r="A598" t="s">
        <v>20</v>
      </c>
      <c r="B598" t="s">
        <v>19</v>
      </c>
      <c r="C598">
        <v>5</v>
      </c>
      <c r="D598">
        <v>2024</v>
      </c>
      <c r="E598" cm="1">
        <f t="array" ref="E598">_xlfn.XLOOKUP(Table2[[#This Row],[college]]&amp;Table2[[#This Row],[division]]&amp;Table2[[#This Row],[year]],
Teams[college]&amp;Teams[division]&amp;Teams[year],
Teams[placing], "NA")</f>
        <v>8</v>
      </c>
      <c r="F598" s="1" cm="1">
        <f t="array" ref="F598">_xlfn.XLOOKUP(Table2[[#This Row],[college]]&amp;Table2[[#This Row],[division]]&amp;Table2[[#This Row],[year]],
Teams[college]&amp;Teams[division]&amp;Teams[year],
Teams[finish], "NA")</f>
        <v>0.64513888888888893</v>
      </c>
    </row>
    <row r="599" spans="1:6" x14ac:dyDescent="0.3">
      <c r="A599" t="s">
        <v>625</v>
      </c>
      <c r="B599" t="s">
        <v>123</v>
      </c>
      <c r="C599">
        <v>5</v>
      </c>
      <c r="D599">
        <v>2023</v>
      </c>
      <c r="E599" cm="1">
        <f t="array" ref="E599">_xlfn.XLOOKUP(Table2[[#This Row],[college]]&amp;Table2[[#This Row],[division]]&amp;Table2[[#This Row],[year]],
Teams[college]&amp;Teams[division]&amp;Teams[year],
Teams[placing], "NA")</f>
        <v>7</v>
      </c>
      <c r="F599" s="1" cm="1">
        <f t="array" ref="F599">_xlfn.XLOOKUP(Table2[[#This Row],[college]]&amp;Table2[[#This Row],[division]]&amp;Table2[[#This Row],[year]],
Teams[college]&amp;Teams[division]&amp;Teams[year],
Teams[finish], "NA")</f>
        <v>0.67777777777777781</v>
      </c>
    </row>
    <row r="600" spans="1:6" x14ac:dyDescent="0.3">
      <c r="A600" t="s">
        <v>518</v>
      </c>
      <c r="B600" t="s">
        <v>5</v>
      </c>
      <c r="C600">
        <v>4</v>
      </c>
      <c r="D600">
        <v>2022</v>
      </c>
      <c r="E600" cm="1">
        <f t="array" ref="E600">_xlfn.XLOOKUP(Table2[[#This Row],[college]]&amp;Table2[[#This Row],[division]]&amp;Table2[[#This Row],[year]],
Teams[college]&amp;Teams[division]&amp;Teams[year],
Teams[placing], "NA")</f>
        <v>4</v>
      </c>
      <c r="F600" s="1" cm="1">
        <f t="array" ref="F600">_xlfn.XLOOKUP(Table2[[#This Row],[college]]&amp;Table2[[#This Row],[division]]&amp;Table2[[#This Row],[year]],
Teams[college]&amp;Teams[division]&amp;Teams[year],
Teams[finish], "NA")</f>
        <v>0.55694444444444446</v>
      </c>
    </row>
    <row r="601" spans="1:6" x14ac:dyDescent="0.3">
      <c r="A601" t="s">
        <v>813</v>
      </c>
      <c r="B601" t="s">
        <v>250</v>
      </c>
      <c r="C601">
        <v>2</v>
      </c>
      <c r="D601">
        <v>2026</v>
      </c>
      <c r="E601" cm="1">
        <f t="array" ref="E601">_xlfn.XLOOKUP(Table2[[#This Row],[college]]&amp;Table2[[#This Row],[division]]&amp;Table2[[#This Row],[year]],
Teams[college]&amp;Teams[division]&amp;Teams[year],
Teams[placing], "NA")</f>
        <v>0</v>
      </c>
      <c r="F601" s="1" cm="1">
        <f t="array" ref="F601">_xlfn.XLOOKUP(Table2[[#This Row],[college]]&amp;Table2[[#This Row],[division]]&amp;Table2[[#This Row],[year]],
Teams[college]&amp;Teams[division]&amp;Teams[year],
Teams[finish], "NA")</f>
        <v>0</v>
      </c>
    </row>
    <row r="602" spans="1:6" x14ac:dyDescent="0.3">
      <c r="A602" t="s">
        <v>500</v>
      </c>
      <c r="B602" t="s">
        <v>137</v>
      </c>
      <c r="C602">
        <v>3</v>
      </c>
      <c r="D602">
        <v>2023</v>
      </c>
      <c r="E602" cm="1">
        <f t="array" ref="E602">_xlfn.XLOOKUP(Table2[[#This Row],[college]]&amp;Table2[[#This Row],[division]]&amp;Table2[[#This Row],[year]],
Teams[college]&amp;Teams[division]&amp;Teams[year],
Teams[placing], "NA")</f>
        <v>4</v>
      </c>
      <c r="F602" s="1" cm="1">
        <f t="array" ref="F602">_xlfn.XLOOKUP(Table2[[#This Row],[college]]&amp;Table2[[#This Row],[division]]&amp;Table2[[#This Row],[year]],
Teams[college]&amp;Teams[division]&amp;Teams[year],
Teams[finish], "NA")</f>
        <v>0.65208333333333335</v>
      </c>
    </row>
    <row r="603" spans="1:6" x14ac:dyDescent="0.3">
      <c r="A603" t="s">
        <v>500</v>
      </c>
      <c r="B603" t="s">
        <v>137</v>
      </c>
      <c r="C603">
        <v>3</v>
      </c>
      <c r="D603">
        <v>2024</v>
      </c>
      <c r="E603" cm="1">
        <f t="array" ref="E603">_xlfn.XLOOKUP(Table2[[#This Row],[college]]&amp;Table2[[#This Row],[division]]&amp;Table2[[#This Row],[year]],
Teams[college]&amp;Teams[division]&amp;Teams[year],
Teams[placing], "NA")</f>
        <v>4</v>
      </c>
      <c r="F603" s="1" cm="1">
        <f t="array" ref="F603">_xlfn.XLOOKUP(Table2[[#This Row],[college]]&amp;Table2[[#This Row],[division]]&amp;Table2[[#This Row],[year]],
Teams[college]&amp;Teams[division]&amp;Teams[year],
Teams[finish], "NA")</f>
        <v>0.68402777777777779</v>
      </c>
    </row>
    <row r="604" spans="1:6" x14ac:dyDescent="0.3">
      <c r="A604" t="s">
        <v>500</v>
      </c>
      <c r="B604" t="s">
        <v>137</v>
      </c>
      <c r="C604">
        <v>3</v>
      </c>
      <c r="D604">
        <v>2022</v>
      </c>
      <c r="E604" t="str" cm="1">
        <f t="array" ref="E604">_xlfn.XLOOKUP(Table2[[#This Row],[college]]&amp;Table2[[#This Row],[division]]&amp;Table2[[#This Row],[year]],
Teams[college]&amp;Teams[division]&amp;Teams[year],
Teams[placing], "NA")</f>
        <v>DNF</v>
      </c>
      <c r="F604" s="1" t="str" cm="1">
        <f t="array" ref="F604">_xlfn.XLOOKUP(Table2[[#This Row],[college]]&amp;Table2[[#This Row],[division]]&amp;Table2[[#This Row],[year]],
Teams[college]&amp;Teams[division]&amp;Teams[year],
Teams[finish], "NA")</f>
        <v>NA</v>
      </c>
    </row>
    <row r="605" spans="1:6" x14ac:dyDescent="0.3">
      <c r="A605" t="s">
        <v>83</v>
      </c>
      <c r="B605" t="s">
        <v>48</v>
      </c>
      <c r="C605">
        <v>1</v>
      </c>
      <c r="D605">
        <v>2025</v>
      </c>
      <c r="E605" cm="1">
        <f t="array" ref="E605">_xlfn.XLOOKUP(Table2[[#This Row],[college]]&amp;Table2[[#This Row],[division]]&amp;Table2[[#This Row],[year]],
Teams[college]&amp;Teams[division]&amp;Teams[year],
Teams[placing], "NA")</f>
        <v>3</v>
      </c>
      <c r="F605" s="1" cm="1">
        <f t="array" ref="F605">_xlfn.XLOOKUP(Table2[[#This Row],[college]]&amp;Table2[[#This Row],[division]]&amp;Table2[[#This Row],[year]],
Teams[college]&amp;Teams[division]&amp;Teams[year],
Teams[finish], "NA")</f>
        <v>0.54652777777777772</v>
      </c>
    </row>
    <row r="606" spans="1:6" x14ac:dyDescent="0.3">
      <c r="A606" t="s">
        <v>83</v>
      </c>
      <c r="B606" t="s">
        <v>48</v>
      </c>
      <c r="C606">
        <v>1</v>
      </c>
      <c r="D606">
        <v>2024</v>
      </c>
      <c r="E606" cm="1">
        <f t="array" ref="E606">_xlfn.XLOOKUP(Table2[[#This Row],[college]]&amp;Table2[[#This Row],[division]]&amp;Table2[[#This Row],[year]],
Teams[college]&amp;Teams[division]&amp;Teams[year],
Teams[placing], "NA")</f>
        <v>3</v>
      </c>
      <c r="F606" s="1" cm="1">
        <f t="array" ref="F606">_xlfn.XLOOKUP(Table2[[#This Row],[college]]&amp;Table2[[#This Row],[division]]&amp;Table2[[#This Row],[year]],
Teams[college]&amp;Teams[division]&amp;Teams[year],
Teams[finish], "NA")</f>
        <v>0.55138888888888893</v>
      </c>
    </row>
    <row r="607" spans="1:6" x14ac:dyDescent="0.3">
      <c r="A607" t="s">
        <v>534</v>
      </c>
      <c r="B607" t="s">
        <v>19</v>
      </c>
      <c r="C607">
        <v>5</v>
      </c>
      <c r="D607">
        <v>2022</v>
      </c>
      <c r="E607" cm="1">
        <f t="array" ref="E607">_xlfn.XLOOKUP(Table2[[#This Row],[college]]&amp;Table2[[#This Row],[division]]&amp;Table2[[#This Row],[year]],
Teams[college]&amp;Teams[division]&amp;Teams[year],
Teams[placing], "NA")</f>
        <v>3</v>
      </c>
      <c r="F607" s="1" cm="1">
        <f t="array" ref="F607">_xlfn.XLOOKUP(Table2[[#This Row],[college]]&amp;Table2[[#This Row],[division]]&amp;Table2[[#This Row],[year]],
Teams[college]&amp;Teams[division]&amp;Teams[year],
Teams[finish], "NA")</f>
        <v>0.51944444444444449</v>
      </c>
    </row>
    <row r="608" spans="1:6" x14ac:dyDescent="0.3">
      <c r="A608" t="s">
        <v>534</v>
      </c>
      <c r="B608" t="s">
        <v>19</v>
      </c>
      <c r="C608">
        <v>2</v>
      </c>
      <c r="D608">
        <v>2023</v>
      </c>
      <c r="E608" cm="1">
        <f t="array" ref="E608">_xlfn.XLOOKUP(Table2[[#This Row],[college]]&amp;Table2[[#This Row],[division]]&amp;Table2[[#This Row],[year]],
Teams[college]&amp;Teams[division]&amp;Teams[year],
Teams[placing], "NA")</f>
        <v>3</v>
      </c>
      <c r="F608" s="1" cm="1">
        <f t="array" ref="F608">_xlfn.XLOOKUP(Table2[[#This Row],[college]]&amp;Table2[[#This Row],[division]]&amp;Table2[[#This Row],[year]],
Teams[college]&amp;Teams[division]&amp;Teams[year],
Teams[finish], "NA")</f>
        <v>0.58750000000000002</v>
      </c>
    </row>
    <row r="609" spans="1:6" x14ac:dyDescent="0.3">
      <c r="A609" t="s">
        <v>990</v>
      </c>
      <c r="B609" t="s">
        <v>5</v>
      </c>
      <c r="C609">
        <v>4</v>
      </c>
      <c r="D609">
        <v>2026</v>
      </c>
      <c r="E609" cm="1">
        <f t="array" ref="E609">_xlfn.XLOOKUP(Table2[[#This Row],[college]]&amp;Table2[[#This Row],[division]]&amp;Table2[[#This Row],[year]],
Teams[college]&amp;Teams[division]&amp;Teams[year],
Teams[placing], "NA")</f>
        <v>0</v>
      </c>
      <c r="F609" s="1" cm="1">
        <f t="array" ref="F609">_xlfn.XLOOKUP(Table2[[#This Row],[college]]&amp;Table2[[#This Row],[division]]&amp;Table2[[#This Row],[year]],
Teams[college]&amp;Teams[division]&amp;Teams[year],
Teams[finish], "NA")</f>
        <v>0</v>
      </c>
    </row>
    <row r="610" spans="1:6" x14ac:dyDescent="0.3">
      <c r="A610" t="s">
        <v>623</v>
      </c>
      <c r="B610" t="s">
        <v>123</v>
      </c>
      <c r="C610">
        <v>4</v>
      </c>
      <c r="D610">
        <v>2022</v>
      </c>
      <c r="E610" cm="1">
        <f t="array" ref="E610">_xlfn.XLOOKUP(Table2[[#This Row],[college]]&amp;Table2[[#This Row],[division]]&amp;Table2[[#This Row],[year]],
Teams[college]&amp;Teams[division]&amp;Teams[year],
Teams[placing], "NA")</f>
        <v>2</v>
      </c>
      <c r="F610" s="1" cm="1">
        <f t="array" ref="F610">_xlfn.XLOOKUP(Table2[[#This Row],[college]]&amp;Table2[[#This Row],[division]]&amp;Table2[[#This Row],[year]],
Teams[college]&amp;Teams[division]&amp;Teams[year],
Teams[finish], "NA")</f>
        <v>0.4465277777777778</v>
      </c>
    </row>
    <row r="611" spans="1:6" x14ac:dyDescent="0.3">
      <c r="A611" t="s">
        <v>623</v>
      </c>
      <c r="B611" t="s">
        <v>123</v>
      </c>
      <c r="C611">
        <v>5</v>
      </c>
      <c r="D611">
        <v>2023</v>
      </c>
      <c r="E611" cm="1">
        <f t="array" ref="E611">_xlfn.XLOOKUP(Table2[[#This Row],[college]]&amp;Table2[[#This Row],[division]]&amp;Table2[[#This Row],[year]],
Teams[college]&amp;Teams[division]&amp;Teams[year],
Teams[placing], "NA")</f>
        <v>7</v>
      </c>
      <c r="F611" s="1" cm="1">
        <f t="array" ref="F611">_xlfn.XLOOKUP(Table2[[#This Row],[college]]&amp;Table2[[#This Row],[division]]&amp;Table2[[#This Row],[year]],
Teams[college]&amp;Teams[division]&amp;Teams[year],
Teams[finish], "NA")</f>
        <v>0.67777777777777781</v>
      </c>
    </row>
    <row r="612" spans="1:6" x14ac:dyDescent="0.3">
      <c r="A612" t="s">
        <v>660</v>
      </c>
      <c r="B612" t="s">
        <v>137</v>
      </c>
      <c r="C612">
        <v>2</v>
      </c>
      <c r="D612">
        <v>2022</v>
      </c>
      <c r="E612" t="str" cm="1">
        <f t="array" ref="E612">_xlfn.XLOOKUP(Table2[[#This Row],[college]]&amp;Table2[[#This Row],[division]]&amp;Table2[[#This Row],[year]],
Teams[college]&amp;Teams[division]&amp;Teams[year],
Teams[placing], "NA")</f>
        <v>DNF</v>
      </c>
      <c r="F612" s="1" t="str" cm="1">
        <f t="array" ref="F612">_xlfn.XLOOKUP(Table2[[#This Row],[college]]&amp;Table2[[#This Row],[division]]&amp;Table2[[#This Row],[year]],
Teams[college]&amp;Teams[division]&amp;Teams[year],
Teams[finish], "NA")</f>
        <v>NA</v>
      </c>
    </row>
    <row r="613" spans="1:6" x14ac:dyDescent="0.3">
      <c r="A613" t="s">
        <v>773</v>
      </c>
      <c r="B613" t="s">
        <v>123</v>
      </c>
      <c r="C613">
        <v>6</v>
      </c>
      <c r="D613">
        <v>2026</v>
      </c>
      <c r="E613" cm="1">
        <f t="array" ref="E613">_xlfn.XLOOKUP(Table2[[#This Row],[college]]&amp;Table2[[#This Row],[division]]&amp;Table2[[#This Row],[year]],
Teams[college]&amp;Teams[division]&amp;Teams[year],
Teams[placing], "NA")</f>
        <v>0</v>
      </c>
      <c r="F613" s="1" cm="1">
        <f t="array" ref="F613">_xlfn.XLOOKUP(Table2[[#This Row],[college]]&amp;Table2[[#This Row],[division]]&amp;Table2[[#This Row],[year]],
Teams[college]&amp;Teams[division]&amp;Teams[year],
Teams[finish], "NA")</f>
        <v>0</v>
      </c>
    </row>
    <row r="614" spans="1:6" x14ac:dyDescent="0.3">
      <c r="A614" t="s">
        <v>611</v>
      </c>
      <c r="B614" t="s">
        <v>755</v>
      </c>
      <c r="C614">
        <v>6</v>
      </c>
      <c r="D614">
        <v>2023</v>
      </c>
      <c r="E614" t="str" cm="1">
        <f t="array" ref="E614">_xlfn.XLOOKUP(Table2[[#This Row],[college]]&amp;Table2[[#This Row],[division]]&amp;Table2[[#This Row],[year]],
Teams[college]&amp;Teams[division]&amp;Teams[year],
Teams[placing], "NA")</f>
        <v>NA</v>
      </c>
      <c r="F614" s="1" cm="1">
        <f t="array" ref="F614">_xlfn.XLOOKUP(Table2[[#This Row],[college]]&amp;Table2[[#This Row],[division]]&amp;Table2[[#This Row],[year]],
Teams[college]&amp;Teams[division]&amp;Teams[year],
Teams[finish], "NA")</f>
        <v>0.68611111111111112</v>
      </c>
    </row>
    <row r="615" spans="1:6" x14ac:dyDescent="0.3">
      <c r="A615" t="s">
        <v>287</v>
      </c>
      <c r="B615" t="s">
        <v>250</v>
      </c>
      <c r="C615">
        <v>6</v>
      </c>
      <c r="D615">
        <v>2025</v>
      </c>
      <c r="E615" cm="1">
        <f t="array" ref="E615">_xlfn.XLOOKUP(Table2[[#This Row],[college]]&amp;Table2[[#This Row],[division]]&amp;Table2[[#This Row],[year]],
Teams[college]&amp;Teams[division]&amp;Teams[year],
Teams[placing], "NA")</f>
        <v>5</v>
      </c>
      <c r="F615" s="1" cm="1">
        <f t="array" ref="F615">_xlfn.XLOOKUP(Table2[[#This Row],[college]]&amp;Table2[[#This Row],[division]]&amp;Table2[[#This Row],[year]],
Teams[college]&amp;Teams[division]&amp;Teams[year],
Teams[finish], "NA")</f>
        <v>0.5625</v>
      </c>
    </row>
    <row r="616" spans="1:6" x14ac:dyDescent="0.3">
      <c r="A616" t="s">
        <v>832</v>
      </c>
      <c r="B616" t="s">
        <v>19</v>
      </c>
      <c r="C616">
        <v>3</v>
      </c>
      <c r="D616">
        <v>2026</v>
      </c>
      <c r="E616" cm="1">
        <f t="array" ref="E616">_xlfn.XLOOKUP(Table2[[#This Row],[college]]&amp;Table2[[#This Row],[division]]&amp;Table2[[#This Row],[year]],
Teams[college]&amp;Teams[division]&amp;Teams[year],
Teams[placing], "NA")</f>
        <v>0</v>
      </c>
      <c r="F616" s="1" cm="1">
        <f t="array" ref="F616">_xlfn.XLOOKUP(Table2[[#This Row],[college]]&amp;Table2[[#This Row],[division]]&amp;Table2[[#This Row],[year]],
Teams[college]&amp;Teams[division]&amp;Teams[year],
Teams[finish], "NA")</f>
        <v>0</v>
      </c>
    </row>
    <row r="617" spans="1:6" x14ac:dyDescent="0.3">
      <c r="A617" t="s">
        <v>220</v>
      </c>
      <c r="B617" t="s">
        <v>123</v>
      </c>
      <c r="C617">
        <v>4</v>
      </c>
      <c r="D617">
        <v>2025</v>
      </c>
      <c r="E617" t="str" cm="1">
        <f t="array" ref="E617">_xlfn.XLOOKUP(Table2[[#This Row],[college]]&amp;Table2[[#This Row],[division]]&amp;Table2[[#This Row],[year]],
Teams[college]&amp;Teams[division]&amp;Teams[year],
Teams[placing], "NA")</f>
        <v>DNF</v>
      </c>
      <c r="F617" s="1" t="str" cm="1">
        <f t="array" ref="F617">_xlfn.XLOOKUP(Table2[[#This Row],[college]]&amp;Table2[[#This Row],[division]]&amp;Table2[[#This Row],[year]],
Teams[college]&amp;Teams[division]&amp;Teams[year],
Teams[finish], "NA")</f>
        <v>NA</v>
      </c>
    </row>
    <row r="618" spans="1:6" x14ac:dyDescent="0.3">
      <c r="A618" t="s">
        <v>82</v>
      </c>
      <c r="B618" t="s">
        <v>48</v>
      </c>
      <c r="C618">
        <v>1</v>
      </c>
      <c r="D618">
        <v>2025</v>
      </c>
      <c r="E618" cm="1">
        <f t="array" ref="E618">_xlfn.XLOOKUP(Table2[[#This Row],[college]]&amp;Table2[[#This Row],[division]]&amp;Table2[[#This Row],[year]],
Teams[college]&amp;Teams[division]&amp;Teams[year],
Teams[placing], "NA")</f>
        <v>3</v>
      </c>
      <c r="F618" s="1" cm="1">
        <f t="array" ref="F618">_xlfn.XLOOKUP(Table2[[#This Row],[college]]&amp;Table2[[#This Row],[division]]&amp;Table2[[#This Row],[year]],
Teams[college]&amp;Teams[division]&amp;Teams[year],
Teams[finish], "NA")</f>
        <v>0.54652777777777772</v>
      </c>
    </row>
    <row r="619" spans="1:6" x14ac:dyDescent="0.3">
      <c r="A619" t="s">
        <v>82</v>
      </c>
      <c r="B619" t="s">
        <v>123</v>
      </c>
      <c r="C619">
        <v>3</v>
      </c>
      <c r="D619">
        <v>2024</v>
      </c>
      <c r="E619" t="str" cm="1">
        <f t="array" ref="E619">_xlfn.XLOOKUP(Table2[[#This Row],[college]]&amp;Table2[[#This Row],[division]]&amp;Table2[[#This Row],[year]],
Teams[college]&amp;Teams[division]&amp;Teams[year],
Teams[placing], "NA")</f>
        <v>DNF</v>
      </c>
      <c r="F619" s="1" t="str" cm="1">
        <f t="array" ref="F619">_xlfn.XLOOKUP(Table2[[#This Row],[college]]&amp;Table2[[#This Row],[division]]&amp;Table2[[#This Row],[year]],
Teams[college]&amp;Teams[division]&amp;Teams[year],
Teams[finish], "NA")</f>
        <v>NA</v>
      </c>
    </row>
    <row r="620" spans="1:6" x14ac:dyDescent="0.3">
      <c r="A620" t="s">
        <v>82</v>
      </c>
      <c r="B620" t="s">
        <v>48</v>
      </c>
      <c r="C620">
        <v>5</v>
      </c>
      <c r="D620">
        <v>2026</v>
      </c>
      <c r="E620" cm="1">
        <f t="array" ref="E620">_xlfn.XLOOKUP(Table2[[#This Row],[college]]&amp;Table2[[#This Row],[division]]&amp;Table2[[#This Row],[year]],
Teams[college]&amp;Teams[division]&amp;Teams[year],
Teams[placing], "NA")</f>
        <v>0</v>
      </c>
      <c r="F620" s="1" cm="1">
        <f t="array" ref="F620">_xlfn.XLOOKUP(Table2[[#This Row],[college]]&amp;Table2[[#This Row],[division]]&amp;Table2[[#This Row],[year]],
Teams[college]&amp;Teams[division]&amp;Teams[year],
Teams[finish], "NA")</f>
        <v>0</v>
      </c>
    </row>
    <row r="621" spans="1:6" x14ac:dyDescent="0.3">
      <c r="A621" t="s">
        <v>897</v>
      </c>
      <c r="B621" t="s">
        <v>19</v>
      </c>
      <c r="C621">
        <v>5</v>
      </c>
      <c r="D621">
        <v>2026</v>
      </c>
      <c r="E621" cm="1">
        <f t="array" ref="E621">_xlfn.XLOOKUP(Table2[[#This Row],[college]]&amp;Table2[[#This Row],[division]]&amp;Table2[[#This Row],[year]],
Teams[college]&amp;Teams[division]&amp;Teams[year],
Teams[placing], "NA")</f>
        <v>0</v>
      </c>
      <c r="F621" s="1" cm="1">
        <f t="array" ref="F621">_xlfn.XLOOKUP(Table2[[#This Row],[college]]&amp;Table2[[#This Row],[division]]&amp;Table2[[#This Row],[year]],
Teams[college]&amp;Teams[division]&amp;Teams[year],
Teams[finish], "NA")</f>
        <v>0</v>
      </c>
    </row>
    <row r="622" spans="1:6" x14ac:dyDescent="0.3">
      <c r="A622" t="s">
        <v>868</v>
      </c>
      <c r="B622" t="s">
        <v>10</v>
      </c>
      <c r="C622">
        <v>4</v>
      </c>
      <c r="D622">
        <v>2026</v>
      </c>
      <c r="E622" cm="1">
        <f t="array" ref="E622">_xlfn.XLOOKUP(Table2[[#This Row],[college]]&amp;Table2[[#This Row],[division]]&amp;Table2[[#This Row],[year]],
Teams[college]&amp;Teams[division]&amp;Teams[year],
Teams[placing], "NA")</f>
        <v>0</v>
      </c>
      <c r="F622" s="1" cm="1">
        <f t="array" ref="F622">_xlfn.XLOOKUP(Table2[[#This Row],[college]]&amp;Table2[[#This Row],[division]]&amp;Table2[[#This Row],[year]],
Teams[college]&amp;Teams[division]&amp;Teams[year],
Teams[finish], "NA")</f>
        <v>0</v>
      </c>
    </row>
    <row r="623" spans="1:6" x14ac:dyDescent="0.3">
      <c r="A623" t="s">
        <v>565</v>
      </c>
      <c r="B623" t="s">
        <v>754</v>
      </c>
      <c r="C623">
        <v>4</v>
      </c>
      <c r="D623">
        <v>2023</v>
      </c>
      <c r="E623" t="str" cm="1">
        <f t="array" ref="E623">_xlfn.XLOOKUP(Table2[[#This Row],[college]]&amp;Table2[[#This Row],[division]]&amp;Table2[[#This Row],[year]],
Teams[college]&amp;Teams[division]&amp;Teams[year],
Teams[placing], "NA")</f>
        <v>NA</v>
      </c>
      <c r="F623" s="1" cm="1">
        <f t="array" ref="F623">_xlfn.XLOOKUP(Table2[[#This Row],[college]]&amp;Table2[[#This Row],[division]]&amp;Table2[[#This Row],[year]],
Teams[college]&amp;Teams[division]&amp;Teams[year],
Teams[finish], "NA")</f>
        <v>0.40416666666666667</v>
      </c>
    </row>
    <row r="624" spans="1:6" x14ac:dyDescent="0.3">
      <c r="A624" t="s">
        <v>798</v>
      </c>
      <c r="B624" t="s">
        <v>250</v>
      </c>
      <c r="C624">
        <v>1</v>
      </c>
      <c r="D624">
        <v>2026</v>
      </c>
      <c r="E624" cm="1">
        <f t="array" ref="E624">_xlfn.XLOOKUP(Table2[[#This Row],[college]]&amp;Table2[[#This Row],[division]]&amp;Table2[[#This Row],[year]],
Teams[college]&amp;Teams[division]&amp;Teams[year],
Teams[placing], "NA")</f>
        <v>0</v>
      </c>
      <c r="F624" s="1" cm="1">
        <f t="array" ref="F624">_xlfn.XLOOKUP(Table2[[#This Row],[college]]&amp;Table2[[#This Row],[division]]&amp;Table2[[#This Row],[year]],
Teams[college]&amp;Teams[division]&amp;Teams[year],
Teams[finish], "NA")</f>
        <v>0</v>
      </c>
    </row>
    <row r="625" spans="1:6" x14ac:dyDescent="0.3">
      <c r="A625" t="s">
        <v>681</v>
      </c>
      <c r="B625" t="s">
        <v>19</v>
      </c>
      <c r="C625">
        <v>3</v>
      </c>
      <c r="D625">
        <v>2022</v>
      </c>
      <c r="E625" cm="1">
        <f t="array" ref="E625">_xlfn.XLOOKUP(Table2[[#This Row],[college]]&amp;Table2[[#This Row],[division]]&amp;Table2[[#This Row],[year]],
Teams[college]&amp;Teams[division]&amp;Teams[year],
Teams[placing], "NA")</f>
        <v>4</v>
      </c>
      <c r="F625" s="1" cm="1">
        <f t="array" ref="F625">_xlfn.XLOOKUP(Table2[[#This Row],[college]]&amp;Table2[[#This Row],[division]]&amp;Table2[[#This Row],[year]],
Teams[college]&amp;Teams[division]&amp;Teams[year],
Teams[finish], "NA")</f>
        <v>0.51180555555555562</v>
      </c>
    </row>
    <row r="626" spans="1:6" x14ac:dyDescent="0.3">
      <c r="A626" t="s">
        <v>666</v>
      </c>
      <c r="B626" t="s">
        <v>137</v>
      </c>
      <c r="C626">
        <v>7</v>
      </c>
      <c r="D626">
        <v>2022</v>
      </c>
      <c r="E626" cm="1">
        <f t="array" ref="E626">_xlfn.XLOOKUP(Table2[[#This Row],[college]]&amp;Table2[[#This Row],[division]]&amp;Table2[[#This Row],[year]],
Teams[college]&amp;Teams[division]&amp;Teams[year],
Teams[placing], "NA")</f>
        <v>1</v>
      </c>
      <c r="F626" s="1" cm="1">
        <f t="array" ref="F626">_xlfn.XLOOKUP(Table2[[#This Row],[college]]&amp;Table2[[#This Row],[division]]&amp;Table2[[#This Row],[year]],
Teams[college]&amp;Teams[division]&amp;Teams[year],
Teams[finish], "NA")</f>
        <v>0.44166666666666665</v>
      </c>
    </row>
    <row r="627" spans="1:6" x14ac:dyDescent="0.3">
      <c r="A627" t="s">
        <v>497</v>
      </c>
      <c r="B627" t="s">
        <v>48</v>
      </c>
      <c r="C627">
        <v>2</v>
      </c>
      <c r="D627">
        <v>2023</v>
      </c>
      <c r="E627" cm="1">
        <f t="array" ref="E627">_xlfn.XLOOKUP(Table2[[#This Row],[college]]&amp;Table2[[#This Row],[division]]&amp;Table2[[#This Row],[year]],
Teams[college]&amp;Teams[division]&amp;Teams[year],
Teams[placing], "NA")</f>
        <v>4</v>
      </c>
      <c r="F627" s="1" cm="1">
        <f t="array" ref="F627">_xlfn.XLOOKUP(Table2[[#This Row],[college]]&amp;Table2[[#This Row],[division]]&amp;Table2[[#This Row],[year]],
Teams[college]&amp;Teams[division]&amp;Teams[year],
Teams[finish], "NA")</f>
        <v>0.59722222222222221</v>
      </c>
    </row>
    <row r="628" spans="1:6" x14ac:dyDescent="0.3">
      <c r="A628" t="s">
        <v>497</v>
      </c>
      <c r="B628" t="s">
        <v>48</v>
      </c>
      <c r="C628">
        <v>3</v>
      </c>
      <c r="D628">
        <v>2024</v>
      </c>
      <c r="E628" cm="1">
        <f t="array" ref="E628">_xlfn.XLOOKUP(Table2[[#This Row],[college]]&amp;Table2[[#This Row],[division]]&amp;Table2[[#This Row],[year]],
Teams[college]&amp;Teams[division]&amp;Teams[year],
Teams[placing], "NA")</f>
        <v>3</v>
      </c>
      <c r="F628" s="1" cm="1">
        <f t="array" ref="F628">_xlfn.XLOOKUP(Table2[[#This Row],[college]]&amp;Table2[[#This Row],[division]]&amp;Table2[[#This Row],[year]],
Teams[college]&amp;Teams[division]&amp;Teams[year],
Teams[finish], "NA")</f>
        <v>0.66111111111111109</v>
      </c>
    </row>
    <row r="629" spans="1:6" x14ac:dyDescent="0.3">
      <c r="A629" t="s">
        <v>497</v>
      </c>
      <c r="B629" t="s">
        <v>48</v>
      </c>
      <c r="C629">
        <v>4</v>
      </c>
      <c r="D629">
        <v>2022</v>
      </c>
      <c r="E629" t="str" cm="1">
        <f t="array" ref="E629">_xlfn.XLOOKUP(Table2[[#This Row],[college]]&amp;Table2[[#This Row],[division]]&amp;Table2[[#This Row],[year]],
Teams[college]&amp;Teams[division]&amp;Teams[year],
Teams[placing], "NA")</f>
        <v>DNF</v>
      </c>
      <c r="F629" s="1" t="str" cm="1">
        <f t="array" ref="F629">_xlfn.XLOOKUP(Table2[[#This Row],[college]]&amp;Table2[[#This Row],[division]]&amp;Table2[[#This Row],[year]],
Teams[college]&amp;Teams[division]&amp;Teams[year],
Teams[finish], "NA")</f>
        <v>NA</v>
      </c>
    </row>
    <row r="630" spans="1:6" x14ac:dyDescent="0.3">
      <c r="A630" t="s">
        <v>729</v>
      </c>
      <c r="B630" t="s">
        <v>48</v>
      </c>
      <c r="C630">
        <v>4</v>
      </c>
      <c r="D630">
        <v>2022</v>
      </c>
      <c r="E630" t="str" cm="1">
        <f t="array" ref="E630">_xlfn.XLOOKUP(Table2[[#This Row],[college]]&amp;Table2[[#This Row],[division]]&amp;Table2[[#This Row],[year]],
Teams[college]&amp;Teams[division]&amp;Teams[year],
Teams[placing], "NA")</f>
        <v>DNF</v>
      </c>
      <c r="F630" s="1" t="str" cm="1">
        <f t="array" ref="F630">_xlfn.XLOOKUP(Table2[[#This Row],[college]]&amp;Table2[[#This Row],[division]]&amp;Table2[[#This Row],[year]],
Teams[college]&amp;Teams[division]&amp;Teams[year],
Teams[finish], "NA")</f>
        <v>NA</v>
      </c>
    </row>
    <row r="631" spans="1:6" x14ac:dyDescent="0.3">
      <c r="A631" t="s">
        <v>337</v>
      </c>
      <c r="B631" t="s">
        <v>132</v>
      </c>
      <c r="C631">
        <v>2</v>
      </c>
      <c r="D631">
        <v>2024</v>
      </c>
      <c r="E631" cm="1">
        <f t="array" ref="E631">_xlfn.XLOOKUP(Table2[[#This Row],[college]]&amp;Table2[[#This Row],[division]]&amp;Table2[[#This Row],[year]],
Teams[college]&amp;Teams[division]&amp;Teams[year],
Teams[placing], "NA")</f>
        <v>4</v>
      </c>
      <c r="F631" s="1" cm="1">
        <f t="array" ref="F631">_xlfn.XLOOKUP(Table2[[#This Row],[college]]&amp;Table2[[#This Row],[division]]&amp;Table2[[#This Row],[year]],
Teams[college]&amp;Teams[division]&amp;Teams[year],
Teams[finish], "NA")</f>
        <v>0.5444444444444444</v>
      </c>
    </row>
    <row r="632" spans="1:6" x14ac:dyDescent="0.3">
      <c r="A632" t="s">
        <v>337</v>
      </c>
      <c r="B632" t="s">
        <v>132</v>
      </c>
      <c r="C632">
        <v>2</v>
      </c>
      <c r="D632">
        <v>2023</v>
      </c>
      <c r="E632" t="str" cm="1">
        <f t="array" ref="E632">_xlfn.XLOOKUP(Table2[[#This Row],[college]]&amp;Table2[[#This Row],[division]]&amp;Table2[[#This Row],[year]],
Teams[college]&amp;Teams[division]&amp;Teams[year],
Teams[placing], "NA")</f>
        <v>DNF</v>
      </c>
      <c r="F632" s="1" t="str" cm="1">
        <f t="array" ref="F632">_xlfn.XLOOKUP(Table2[[#This Row],[college]]&amp;Table2[[#This Row],[division]]&amp;Table2[[#This Row],[year]],
Teams[college]&amp;Teams[division]&amp;Teams[year],
Teams[finish], "NA")</f>
        <v>NA</v>
      </c>
    </row>
    <row r="633" spans="1:6" x14ac:dyDescent="0.3">
      <c r="A633" t="s">
        <v>97</v>
      </c>
      <c r="B633" t="s">
        <v>760</v>
      </c>
      <c r="C633">
        <v>6</v>
      </c>
      <c r="D633">
        <v>2025</v>
      </c>
      <c r="E633" t="str" cm="1">
        <f t="array" ref="E633">_xlfn.XLOOKUP(Table2[[#This Row],[college]]&amp;Table2[[#This Row],[division]]&amp;Table2[[#This Row],[year]],
Teams[college]&amp;Teams[division]&amp;Teams[year],
Teams[placing], "NA")</f>
        <v>NA</v>
      </c>
      <c r="F633" s="1" cm="1">
        <f t="array" ref="F633">_xlfn.XLOOKUP(Table2[[#This Row],[college]]&amp;Table2[[#This Row],[division]]&amp;Table2[[#This Row],[year]],
Teams[college]&amp;Teams[division]&amp;Teams[year],
Teams[finish], "NA")</f>
        <v>0.7055555555555556</v>
      </c>
    </row>
    <row r="634" spans="1:6" x14ac:dyDescent="0.3">
      <c r="A634" t="s">
        <v>615</v>
      </c>
      <c r="B634" t="s">
        <v>250</v>
      </c>
      <c r="C634">
        <v>6</v>
      </c>
      <c r="D634">
        <v>2023</v>
      </c>
      <c r="E634" t="str" cm="1">
        <f t="array" ref="E634">_xlfn.XLOOKUP(Table2[[#This Row],[college]]&amp;Table2[[#This Row],[division]]&amp;Table2[[#This Row],[year]],
Teams[college]&amp;Teams[division]&amp;Teams[year],
Teams[placing], "NA")</f>
        <v>DNF</v>
      </c>
      <c r="F634" s="1" t="str" cm="1">
        <f t="array" ref="F634">_xlfn.XLOOKUP(Table2[[#This Row],[college]]&amp;Table2[[#This Row],[division]]&amp;Table2[[#This Row],[year]],
Teams[college]&amp;Teams[division]&amp;Teams[year],
Teams[finish], "NA")</f>
        <v>NA</v>
      </c>
    </row>
    <row r="635" spans="1:6" x14ac:dyDescent="0.3">
      <c r="A635" t="s">
        <v>56</v>
      </c>
      <c r="B635" t="s">
        <v>754</v>
      </c>
      <c r="C635">
        <v>5</v>
      </c>
      <c r="D635">
        <v>2025</v>
      </c>
      <c r="E635" t="str" cm="1">
        <f t="array" ref="E635">_xlfn.XLOOKUP(Table2[[#This Row],[college]]&amp;Table2[[#This Row],[division]]&amp;Table2[[#This Row],[year]],
Teams[college]&amp;Teams[division]&amp;Teams[year],
Teams[placing], "NA")</f>
        <v>NA</v>
      </c>
      <c r="F635" s="1" cm="1">
        <f t="array" ref="F635">_xlfn.XLOOKUP(Table2[[#This Row],[college]]&amp;Table2[[#This Row],[division]]&amp;Table2[[#This Row],[year]],
Teams[college]&amp;Teams[division]&amp;Teams[year],
Teams[finish], "NA")</f>
        <v>0.4597222222222222</v>
      </c>
    </row>
    <row r="636" spans="1:6" x14ac:dyDescent="0.3">
      <c r="A636" t="s">
        <v>56</v>
      </c>
      <c r="B636" t="s">
        <v>132</v>
      </c>
      <c r="C636">
        <v>6</v>
      </c>
      <c r="D636">
        <v>2024</v>
      </c>
      <c r="E636" cm="1">
        <f t="array" ref="E636">_xlfn.XLOOKUP(Table2[[#This Row],[college]]&amp;Table2[[#This Row],[division]]&amp;Table2[[#This Row],[year]],
Teams[college]&amp;Teams[division]&amp;Teams[year],
Teams[placing], "NA")</f>
        <v>4</v>
      </c>
      <c r="F636" s="1" cm="1">
        <f t="array" ref="F636">_xlfn.XLOOKUP(Table2[[#This Row],[college]]&amp;Table2[[#This Row],[division]]&amp;Table2[[#This Row],[year]],
Teams[college]&amp;Teams[division]&amp;Teams[year],
Teams[finish], "NA")</f>
        <v>0.63472222222222219</v>
      </c>
    </row>
    <row r="637" spans="1:6" x14ac:dyDescent="0.3">
      <c r="A637" t="s">
        <v>391</v>
      </c>
      <c r="B637" t="s">
        <v>123</v>
      </c>
      <c r="C637">
        <v>2</v>
      </c>
      <c r="D637">
        <v>2024</v>
      </c>
      <c r="E637" cm="1">
        <f t="array" ref="E637">_xlfn.XLOOKUP(Table2[[#This Row],[college]]&amp;Table2[[#This Row],[division]]&amp;Table2[[#This Row],[year]],
Teams[college]&amp;Teams[division]&amp;Teams[year],
Teams[placing], "NA")</f>
        <v>1</v>
      </c>
      <c r="F637" s="1" cm="1">
        <f t="array" ref="F637">_xlfn.XLOOKUP(Table2[[#This Row],[college]]&amp;Table2[[#This Row],[division]]&amp;Table2[[#This Row],[year]],
Teams[college]&amp;Teams[division]&amp;Teams[year],
Teams[finish], "NA")</f>
        <v>0.48819444444444443</v>
      </c>
    </row>
    <row r="638" spans="1:6" x14ac:dyDescent="0.3">
      <c r="A638" t="s">
        <v>391</v>
      </c>
      <c r="B638" t="s">
        <v>123</v>
      </c>
      <c r="C638">
        <v>1</v>
      </c>
      <c r="D638">
        <v>2022</v>
      </c>
      <c r="E638" cm="1">
        <f t="array" ref="E638">_xlfn.XLOOKUP(Table2[[#This Row],[college]]&amp;Table2[[#This Row],[division]]&amp;Table2[[#This Row],[year]],
Teams[college]&amp;Teams[division]&amp;Teams[year],
Teams[placing], "NA")</f>
        <v>3</v>
      </c>
      <c r="F638" s="1" cm="1">
        <f t="array" ref="F638">_xlfn.XLOOKUP(Table2[[#This Row],[college]]&amp;Table2[[#This Row],[division]]&amp;Table2[[#This Row],[year]],
Teams[college]&amp;Teams[division]&amp;Teams[year],
Teams[finish], "NA")</f>
        <v>0.55069444444444449</v>
      </c>
    </row>
    <row r="639" spans="1:6" x14ac:dyDescent="0.3">
      <c r="A639" t="s">
        <v>391</v>
      </c>
      <c r="B639" t="s">
        <v>123</v>
      </c>
      <c r="C639">
        <v>1</v>
      </c>
      <c r="D639">
        <v>2023</v>
      </c>
      <c r="E639" cm="1">
        <f t="array" ref="E639">_xlfn.XLOOKUP(Table2[[#This Row],[college]]&amp;Table2[[#This Row],[division]]&amp;Table2[[#This Row],[year]],
Teams[college]&amp;Teams[division]&amp;Teams[year],
Teams[placing], "NA")</f>
        <v>3</v>
      </c>
      <c r="F639" s="1" cm="1">
        <f t="array" ref="F639">_xlfn.XLOOKUP(Table2[[#This Row],[college]]&amp;Table2[[#This Row],[division]]&amp;Table2[[#This Row],[year]],
Teams[college]&amp;Teams[division]&amp;Teams[year],
Teams[finish], "NA")</f>
        <v>0.67708333333333337</v>
      </c>
    </row>
    <row r="640" spans="1:6" x14ac:dyDescent="0.3">
      <c r="A640" t="s">
        <v>232</v>
      </c>
      <c r="B640" t="s">
        <v>757</v>
      </c>
      <c r="C640">
        <v>5</v>
      </c>
      <c r="D640">
        <v>2025</v>
      </c>
      <c r="E640" t="str" cm="1">
        <f t="array" ref="E640">_xlfn.XLOOKUP(Table2[[#This Row],[college]]&amp;Table2[[#This Row],[division]]&amp;Table2[[#This Row],[year]],
Teams[college]&amp;Teams[division]&amp;Teams[year],
Teams[placing], "NA")</f>
        <v>NA</v>
      </c>
      <c r="F640" s="1" cm="1">
        <f t="array" ref="F640">_xlfn.XLOOKUP(Table2[[#This Row],[college]]&amp;Table2[[#This Row],[division]]&amp;Table2[[#This Row],[year]],
Teams[college]&amp;Teams[division]&amp;Teams[year],
Teams[finish], "NA")</f>
        <v>0.53472222222222221</v>
      </c>
    </row>
    <row r="641" spans="1:6" x14ac:dyDescent="0.3">
      <c r="A641" t="s">
        <v>232</v>
      </c>
      <c r="B641" t="s">
        <v>132</v>
      </c>
      <c r="C641">
        <v>6</v>
      </c>
      <c r="D641">
        <v>2023</v>
      </c>
      <c r="E641" t="str" cm="1">
        <f t="array" ref="E641">_xlfn.XLOOKUP(Table2[[#This Row],[college]]&amp;Table2[[#This Row],[division]]&amp;Table2[[#This Row],[year]],
Teams[college]&amp;Teams[division]&amp;Teams[year],
Teams[placing], "NA")</f>
        <v>DNF</v>
      </c>
      <c r="F641" s="1" t="str" cm="1">
        <f t="array" ref="F641">_xlfn.XLOOKUP(Table2[[#This Row],[college]]&amp;Table2[[#This Row],[division]]&amp;Table2[[#This Row],[year]],
Teams[college]&amp;Teams[division]&amp;Teams[year],
Teams[finish], "NA")</f>
        <v>NA</v>
      </c>
    </row>
    <row r="642" spans="1:6" x14ac:dyDescent="0.3">
      <c r="A642" t="s">
        <v>435</v>
      </c>
      <c r="B642" t="s">
        <v>123</v>
      </c>
      <c r="C642">
        <v>6</v>
      </c>
      <c r="D642">
        <v>2024</v>
      </c>
      <c r="E642" cm="1">
        <f t="array" ref="E642">_xlfn.XLOOKUP(Table2[[#This Row],[college]]&amp;Table2[[#This Row],[division]]&amp;Table2[[#This Row],[year]],
Teams[college]&amp;Teams[division]&amp;Teams[year],
Teams[placing], "NA")</f>
        <v>5</v>
      </c>
      <c r="F642" s="1" cm="1">
        <f t="array" ref="F642">_xlfn.XLOOKUP(Table2[[#This Row],[college]]&amp;Table2[[#This Row],[division]]&amp;Table2[[#This Row],[year]],
Teams[college]&amp;Teams[division]&amp;Teams[year],
Teams[finish], "NA")</f>
        <v>0.64444444444444449</v>
      </c>
    </row>
    <row r="643" spans="1:6" x14ac:dyDescent="0.3">
      <c r="A643" t="s">
        <v>886</v>
      </c>
      <c r="B643" t="s">
        <v>787</v>
      </c>
      <c r="C643">
        <v>5</v>
      </c>
      <c r="D643">
        <v>2026</v>
      </c>
      <c r="E643" t="str" cm="1">
        <f t="array" ref="E643">_xlfn.XLOOKUP(Table2[[#This Row],[college]]&amp;Table2[[#This Row],[division]]&amp;Table2[[#This Row],[year]],
Teams[college]&amp;Teams[division]&amp;Teams[year],
Teams[placing], "NA")</f>
        <v>NA</v>
      </c>
      <c r="F643" s="1" t="str" cm="1">
        <f t="array" ref="F643">_xlfn.XLOOKUP(Table2[[#This Row],[college]]&amp;Table2[[#This Row],[division]]&amp;Table2[[#This Row],[year]],
Teams[college]&amp;Teams[division]&amp;Teams[year],
Teams[finish], "NA")</f>
        <v>NA</v>
      </c>
    </row>
    <row r="644" spans="1:6" x14ac:dyDescent="0.3">
      <c r="A644" t="s">
        <v>883</v>
      </c>
      <c r="B644" t="s">
        <v>250</v>
      </c>
      <c r="C644">
        <v>5</v>
      </c>
      <c r="D644">
        <v>2026</v>
      </c>
      <c r="E644" cm="1">
        <f t="array" ref="E644">_xlfn.XLOOKUP(Table2[[#This Row],[college]]&amp;Table2[[#This Row],[division]]&amp;Table2[[#This Row],[year]],
Teams[college]&amp;Teams[division]&amp;Teams[year],
Teams[placing], "NA")</f>
        <v>0</v>
      </c>
      <c r="F644" s="1" cm="1">
        <f t="array" ref="F644">_xlfn.XLOOKUP(Table2[[#This Row],[college]]&amp;Table2[[#This Row],[division]]&amp;Table2[[#This Row],[year]],
Teams[college]&amp;Teams[division]&amp;Teams[year],
Teams[finish], "NA")</f>
        <v>0</v>
      </c>
    </row>
    <row r="645" spans="1:6" x14ac:dyDescent="0.3">
      <c r="A645" t="s">
        <v>914</v>
      </c>
      <c r="B645" t="s">
        <v>10</v>
      </c>
      <c r="C645">
        <v>6</v>
      </c>
      <c r="D645">
        <v>2026</v>
      </c>
      <c r="E645" cm="1">
        <f t="array" ref="E645">_xlfn.XLOOKUP(Table2[[#This Row],[college]]&amp;Table2[[#This Row],[division]]&amp;Table2[[#This Row],[year]],
Teams[college]&amp;Teams[division]&amp;Teams[year],
Teams[placing], "NA")</f>
        <v>0</v>
      </c>
      <c r="F645" s="1" cm="1">
        <f t="array" ref="F645">_xlfn.XLOOKUP(Table2[[#This Row],[college]]&amp;Table2[[#This Row],[division]]&amp;Table2[[#This Row],[year]],
Teams[college]&amp;Teams[division]&amp;Teams[year],
Teams[finish], "NA")</f>
        <v>0</v>
      </c>
    </row>
    <row r="646" spans="1:6" x14ac:dyDescent="0.3">
      <c r="A646" t="s">
        <v>276</v>
      </c>
      <c r="B646" t="s">
        <v>266</v>
      </c>
      <c r="C646">
        <v>1</v>
      </c>
      <c r="D646">
        <v>2025</v>
      </c>
      <c r="E646" cm="1">
        <f t="array" ref="E646">_xlfn.XLOOKUP(Table2[[#This Row],[college]]&amp;Table2[[#This Row],[division]]&amp;Table2[[#This Row],[year]],
Teams[college]&amp;Teams[division]&amp;Teams[year],
Teams[placing], "NA")</f>
        <v>6</v>
      </c>
      <c r="F646" s="1" cm="1">
        <f t="array" ref="F646">_xlfn.XLOOKUP(Table2[[#This Row],[college]]&amp;Table2[[#This Row],[division]]&amp;Table2[[#This Row],[year]],
Teams[college]&amp;Teams[division]&amp;Teams[year],
Teams[finish], "NA")</f>
        <v>0.63541666666666663</v>
      </c>
    </row>
    <row r="647" spans="1:6" x14ac:dyDescent="0.3">
      <c r="A647" t="s">
        <v>76</v>
      </c>
      <c r="B647" t="s">
        <v>19</v>
      </c>
      <c r="C647">
        <v>2</v>
      </c>
      <c r="D647">
        <v>2025</v>
      </c>
      <c r="E647" cm="1">
        <f t="array" ref="E647">_xlfn.XLOOKUP(Table2[[#This Row],[college]]&amp;Table2[[#This Row],[division]]&amp;Table2[[#This Row],[year]],
Teams[college]&amp;Teams[division]&amp;Teams[year],
Teams[placing], "NA")</f>
        <v>4</v>
      </c>
      <c r="F647" s="1" cm="1">
        <f t="array" ref="F647">_xlfn.XLOOKUP(Table2[[#This Row],[college]]&amp;Table2[[#This Row],[division]]&amp;Table2[[#This Row],[year]],
Teams[college]&amp;Teams[division]&amp;Teams[year],
Teams[finish], "NA")</f>
        <v>0.57013888888888886</v>
      </c>
    </row>
    <row r="648" spans="1:6" x14ac:dyDescent="0.3">
      <c r="A648" t="s">
        <v>76</v>
      </c>
      <c r="B648" t="s">
        <v>19</v>
      </c>
      <c r="C648">
        <v>6</v>
      </c>
      <c r="D648">
        <v>2024</v>
      </c>
      <c r="E648" t="str" cm="1">
        <f t="array" ref="E648">_xlfn.XLOOKUP(Table2[[#This Row],[college]]&amp;Table2[[#This Row],[division]]&amp;Table2[[#This Row],[year]],
Teams[college]&amp;Teams[division]&amp;Teams[year],
Teams[placing], "NA")</f>
        <v>DNF</v>
      </c>
      <c r="F648" s="1" t="str" cm="1">
        <f t="array" ref="F648">_xlfn.XLOOKUP(Table2[[#This Row],[college]]&amp;Table2[[#This Row],[division]]&amp;Table2[[#This Row],[year]],
Teams[college]&amp;Teams[division]&amp;Teams[year],
Teams[finish], "NA")</f>
        <v>NA</v>
      </c>
    </row>
    <row r="649" spans="1:6" x14ac:dyDescent="0.3">
      <c r="A649" t="s">
        <v>76</v>
      </c>
      <c r="B649" t="s">
        <v>19</v>
      </c>
      <c r="C649">
        <v>1</v>
      </c>
      <c r="D649">
        <v>2026</v>
      </c>
      <c r="E649" cm="1">
        <f t="array" ref="E649">_xlfn.XLOOKUP(Table2[[#This Row],[college]]&amp;Table2[[#This Row],[division]]&amp;Table2[[#This Row],[year]],
Teams[college]&amp;Teams[division]&amp;Teams[year],
Teams[placing], "NA")</f>
        <v>0</v>
      </c>
      <c r="F649" s="1" cm="1">
        <f t="array" ref="F649">_xlfn.XLOOKUP(Table2[[#This Row],[college]]&amp;Table2[[#This Row],[division]]&amp;Table2[[#This Row],[year]],
Teams[college]&amp;Teams[division]&amp;Teams[year],
Teams[finish], "NA")</f>
        <v>0</v>
      </c>
    </row>
    <row r="650" spans="1:6" x14ac:dyDescent="0.3">
      <c r="A650" t="s">
        <v>33</v>
      </c>
      <c r="B650" t="s">
        <v>5</v>
      </c>
      <c r="C650">
        <v>5</v>
      </c>
      <c r="D650">
        <v>2025</v>
      </c>
      <c r="E650" cm="1">
        <f t="array" ref="E650">_xlfn.XLOOKUP(Table2[[#This Row],[college]]&amp;Table2[[#This Row],[division]]&amp;Table2[[#This Row],[year]],
Teams[college]&amp;Teams[division]&amp;Teams[year],
Teams[placing], "NA")</f>
        <v>4</v>
      </c>
      <c r="F650" s="1" cm="1">
        <f t="array" ref="F650">_xlfn.XLOOKUP(Table2[[#This Row],[college]]&amp;Table2[[#This Row],[division]]&amp;Table2[[#This Row],[year]],
Teams[college]&amp;Teams[division]&amp;Teams[year],
Teams[finish], "NA")</f>
        <v>0.47083333333333333</v>
      </c>
    </row>
    <row r="651" spans="1:6" x14ac:dyDescent="0.3">
      <c r="A651" t="s">
        <v>33</v>
      </c>
      <c r="B651" t="s">
        <v>5</v>
      </c>
      <c r="C651">
        <v>6</v>
      </c>
      <c r="D651">
        <v>2024</v>
      </c>
      <c r="E651" cm="1">
        <f t="array" ref="E651">_xlfn.XLOOKUP(Table2[[#This Row],[college]]&amp;Table2[[#This Row],[division]]&amp;Table2[[#This Row],[year]],
Teams[college]&amp;Teams[division]&amp;Teams[year],
Teams[placing], "NA")</f>
        <v>1</v>
      </c>
      <c r="F651" s="1" cm="1">
        <f t="array" ref="F651">_xlfn.XLOOKUP(Table2[[#This Row],[college]]&amp;Table2[[#This Row],[division]]&amp;Table2[[#This Row],[year]],
Teams[college]&amp;Teams[division]&amp;Teams[year],
Teams[finish], "NA")</f>
        <v>0.59722222222222221</v>
      </c>
    </row>
    <row r="652" spans="1:6" x14ac:dyDescent="0.3">
      <c r="A652" t="s">
        <v>893</v>
      </c>
      <c r="B652" t="s">
        <v>132</v>
      </c>
      <c r="C652">
        <v>5</v>
      </c>
      <c r="D652">
        <v>2026</v>
      </c>
      <c r="E652" cm="1">
        <f t="array" ref="E652">_xlfn.XLOOKUP(Table2[[#This Row],[college]]&amp;Table2[[#This Row],[division]]&amp;Table2[[#This Row],[year]],
Teams[college]&amp;Teams[division]&amp;Teams[year],
Teams[placing], "NA")</f>
        <v>0</v>
      </c>
      <c r="F652" s="1" cm="1">
        <f t="array" ref="F652">_xlfn.XLOOKUP(Table2[[#This Row],[college]]&amp;Table2[[#This Row],[division]]&amp;Table2[[#This Row],[year]],
Teams[college]&amp;Teams[division]&amp;Teams[year],
Teams[finish], "NA")</f>
        <v>0</v>
      </c>
    </row>
    <row r="653" spans="1:6" x14ac:dyDescent="0.3">
      <c r="A653" t="s">
        <v>811</v>
      </c>
      <c r="B653" t="s">
        <v>19</v>
      </c>
      <c r="C653">
        <v>2</v>
      </c>
      <c r="D653">
        <v>2026</v>
      </c>
      <c r="E653" cm="1">
        <f t="array" ref="E653">_xlfn.XLOOKUP(Table2[[#This Row],[college]]&amp;Table2[[#This Row],[division]]&amp;Table2[[#This Row],[year]],
Teams[college]&amp;Teams[division]&amp;Teams[year],
Teams[placing], "NA")</f>
        <v>0</v>
      </c>
      <c r="F653" s="1" cm="1">
        <f t="array" ref="F653">_xlfn.XLOOKUP(Table2[[#This Row],[college]]&amp;Table2[[#This Row],[division]]&amp;Table2[[#This Row],[year]],
Teams[college]&amp;Teams[division]&amp;Teams[year],
Teams[finish], "NA")</f>
        <v>0</v>
      </c>
    </row>
    <row r="654" spans="1:6" x14ac:dyDescent="0.3">
      <c r="A654" t="s">
        <v>177</v>
      </c>
      <c r="B654" t="s">
        <v>132</v>
      </c>
      <c r="C654">
        <v>5</v>
      </c>
      <c r="D654">
        <v>2025</v>
      </c>
      <c r="E654" cm="1">
        <f t="array" ref="E654">_xlfn.XLOOKUP(Table2[[#This Row],[college]]&amp;Table2[[#This Row],[division]]&amp;Table2[[#This Row],[year]],
Teams[college]&amp;Teams[division]&amp;Teams[year],
Teams[placing], "NA")</f>
        <v>7</v>
      </c>
      <c r="F654" s="1" cm="1">
        <f t="array" ref="F654">_xlfn.XLOOKUP(Table2[[#This Row],[college]]&amp;Table2[[#This Row],[division]]&amp;Table2[[#This Row],[year]],
Teams[college]&amp;Teams[division]&amp;Teams[year],
Teams[finish], "NA")</f>
        <v>0.52638888888888891</v>
      </c>
    </row>
    <row r="655" spans="1:6" x14ac:dyDescent="0.3">
      <c r="A655" t="s">
        <v>177</v>
      </c>
      <c r="B655" t="s">
        <v>132</v>
      </c>
      <c r="C655">
        <v>1</v>
      </c>
      <c r="D655">
        <v>2026</v>
      </c>
      <c r="E655" cm="1">
        <f t="array" ref="E655">_xlfn.XLOOKUP(Table2[[#This Row],[college]]&amp;Table2[[#This Row],[division]]&amp;Table2[[#This Row],[year]],
Teams[college]&amp;Teams[division]&amp;Teams[year],
Teams[placing], "NA")</f>
        <v>0</v>
      </c>
      <c r="F655" s="1" cm="1">
        <f t="array" ref="F655">_xlfn.XLOOKUP(Table2[[#This Row],[college]]&amp;Table2[[#This Row],[division]]&amp;Table2[[#This Row],[year]],
Teams[college]&amp;Teams[division]&amp;Teams[year],
Teams[finish], "NA")</f>
        <v>0</v>
      </c>
    </row>
    <row r="656" spans="1:6" x14ac:dyDescent="0.3">
      <c r="A656" t="s">
        <v>409</v>
      </c>
      <c r="B656" t="s">
        <v>10</v>
      </c>
      <c r="C656">
        <v>2</v>
      </c>
      <c r="D656">
        <v>2024</v>
      </c>
      <c r="E656" cm="1">
        <f t="array" ref="E656">_xlfn.XLOOKUP(Table2[[#This Row],[college]]&amp;Table2[[#This Row],[division]]&amp;Table2[[#This Row],[year]],
Teams[college]&amp;Teams[division]&amp;Teams[year],
Teams[placing], "NA")</f>
        <v>5</v>
      </c>
      <c r="F656" s="1" cm="1">
        <f t="array" ref="F656">_xlfn.XLOOKUP(Table2[[#This Row],[college]]&amp;Table2[[#This Row],[division]]&amp;Table2[[#This Row],[year]],
Teams[college]&amp;Teams[division]&amp;Teams[year],
Teams[finish], "NA")</f>
        <v>0.57916666666666672</v>
      </c>
    </row>
    <row r="657" spans="1:6" x14ac:dyDescent="0.3">
      <c r="A657" t="s">
        <v>409</v>
      </c>
      <c r="B657" t="s">
        <v>10</v>
      </c>
      <c r="C657">
        <v>3</v>
      </c>
      <c r="D657">
        <v>2023</v>
      </c>
      <c r="E657" cm="1">
        <f t="array" ref="E657">_xlfn.XLOOKUP(Table2[[#This Row],[college]]&amp;Table2[[#This Row],[division]]&amp;Table2[[#This Row],[year]],
Teams[college]&amp;Teams[division]&amp;Teams[year],
Teams[placing], "NA")</f>
        <v>2</v>
      </c>
      <c r="F657" s="1" cm="1">
        <f t="array" ref="F657">_xlfn.XLOOKUP(Table2[[#This Row],[college]]&amp;Table2[[#This Row],[division]]&amp;Table2[[#This Row],[year]],
Teams[college]&amp;Teams[division]&amp;Teams[year],
Teams[finish], "NA")</f>
        <v>0.59375</v>
      </c>
    </row>
    <row r="658" spans="1:6" x14ac:dyDescent="0.3">
      <c r="A658" t="s">
        <v>512</v>
      </c>
      <c r="B658" t="s">
        <v>754</v>
      </c>
      <c r="C658">
        <v>6</v>
      </c>
      <c r="D658">
        <v>2023</v>
      </c>
      <c r="E658" t="str" cm="1">
        <f t="array" ref="E658">_xlfn.XLOOKUP(Table2[[#This Row],[college]]&amp;Table2[[#This Row],[division]]&amp;Table2[[#This Row],[year]],
Teams[college]&amp;Teams[division]&amp;Teams[year],
Teams[placing], "NA")</f>
        <v>NA</v>
      </c>
      <c r="F658" s="1" cm="1">
        <f t="array" ref="F658">_xlfn.XLOOKUP(Table2[[#This Row],[college]]&amp;Table2[[#This Row],[division]]&amp;Table2[[#This Row],[year]],
Teams[college]&amp;Teams[division]&amp;Teams[year],
Teams[finish], "NA")</f>
        <v>0.60416666666666663</v>
      </c>
    </row>
    <row r="659" spans="1:6" x14ac:dyDescent="0.3">
      <c r="A659" t="s">
        <v>353</v>
      </c>
      <c r="B659" t="s">
        <v>266</v>
      </c>
      <c r="C659">
        <v>6</v>
      </c>
      <c r="D659">
        <v>2024</v>
      </c>
      <c r="E659" t="str" cm="1">
        <f t="array" ref="E659">_xlfn.XLOOKUP(Table2[[#This Row],[college]]&amp;Table2[[#This Row],[division]]&amp;Table2[[#This Row],[year]],
Teams[college]&amp;Teams[division]&amp;Teams[year],
Teams[placing], "NA")</f>
        <v>DNF</v>
      </c>
      <c r="F659" s="1" t="str" cm="1">
        <f t="array" ref="F659">_xlfn.XLOOKUP(Table2[[#This Row],[college]]&amp;Table2[[#This Row],[division]]&amp;Table2[[#This Row],[year]],
Teams[college]&amp;Teams[division]&amp;Teams[year],
Teams[finish], "NA")</f>
        <v>NA</v>
      </c>
    </row>
    <row r="660" spans="1:6" x14ac:dyDescent="0.3">
      <c r="A660" t="s">
        <v>235</v>
      </c>
      <c r="B660" t="s">
        <v>757</v>
      </c>
      <c r="C660">
        <v>5</v>
      </c>
      <c r="D660">
        <v>2025</v>
      </c>
      <c r="E660" t="str" cm="1">
        <f t="array" ref="E660">_xlfn.XLOOKUP(Table2[[#This Row],[college]]&amp;Table2[[#This Row],[division]]&amp;Table2[[#This Row],[year]],
Teams[college]&amp;Teams[division]&amp;Teams[year],
Teams[placing], "NA")</f>
        <v>NA</v>
      </c>
      <c r="F660" s="1" cm="1">
        <f t="array" ref="F660">_xlfn.XLOOKUP(Table2[[#This Row],[college]]&amp;Table2[[#This Row],[division]]&amp;Table2[[#This Row],[year]],
Teams[college]&amp;Teams[division]&amp;Teams[year],
Teams[finish], "NA")</f>
        <v>0.53472222222222221</v>
      </c>
    </row>
    <row r="661" spans="1:6" x14ac:dyDescent="0.3">
      <c r="A661" t="s">
        <v>573</v>
      </c>
      <c r="B661" t="s">
        <v>132</v>
      </c>
      <c r="C661">
        <v>4</v>
      </c>
      <c r="D661">
        <v>2023</v>
      </c>
      <c r="E661" t="str" cm="1">
        <f t="array" ref="E661">_xlfn.XLOOKUP(Table2[[#This Row],[college]]&amp;Table2[[#This Row],[division]]&amp;Table2[[#This Row],[year]],
Teams[college]&amp;Teams[division]&amp;Teams[year],
Teams[placing], "NA")</f>
        <v>DNF</v>
      </c>
      <c r="F661" s="1" t="str" cm="1">
        <f t="array" ref="F661">_xlfn.XLOOKUP(Table2[[#This Row],[college]]&amp;Table2[[#This Row],[division]]&amp;Table2[[#This Row],[year]],
Teams[college]&amp;Teams[division]&amp;Teams[year],
Teams[finish], "NA")</f>
        <v>NA</v>
      </c>
    </row>
    <row r="662" spans="1:6" x14ac:dyDescent="0.3">
      <c r="A662" t="s">
        <v>348</v>
      </c>
      <c r="B662" t="s">
        <v>132</v>
      </c>
      <c r="C662">
        <v>4</v>
      </c>
      <c r="D662">
        <v>2024</v>
      </c>
      <c r="E662" cm="1">
        <f t="array" ref="E662">_xlfn.XLOOKUP(Table2[[#This Row],[college]]&amp;Table2[[#This Row],[division]]&amp;Table2[[#This Row],[year]],
Teams[college]&amp;Teams[division]&amp;Teams[year],
Teams[placing], "NA")</f>
        <v>4</v>
      </c>
      <c r="F662" s="1" cm="1">
        <f t="array" ref="F662">_xlfn.XLOOKUP(Table2[[#This Row],[college]]&amp;Table2[[#This Row],[division]]&amp;Table2[[#This Row],[year]],
Teams[college]&amp;Teams[division]&amp;Teams[year],
Teams[finish], "NA")</f>
        <v>0.65277777777777779</v>
      </c>
    </row>
    <row r="663" spans="1:6" x14ac:dyDescent="0.3">
      <c r="A663" t="s">
        <v>348</v>
      </c>
      <c r="B663" t="s">
        <v>132</v>
      </c>
      <c r="C663">
        <v>4</v>
      </c>
      <c r="D663">
        <v>2023</v>
      </c>
      <c r="E663" t="str" cm="1">
        <f t="array" ref="E663">_xlfn.XLOOKUP(Table2[[#This Row],[college]]&amp;Table2[[#This Row],[division]]&amp;Table2[[#This Row],[year]],
Teams[college]&amp;Teams[division]&amp;Teams[year],
Teams[placing], "NA")</f>
        <v>DNF</v>
      </c>
      <c r="F663" s="1" t="str" cm="1">
        <f t="array" ref="F663">_xlfn.XLOOKUP(Table2[[#This Row],[college]]&amp;Table2[[#This Row],[division]]&amp;Table2[[#This Row],[year]],
Teams[college]&amp;Teams[division]&amp;Teams[year],
Teams[finish], "NA")</f>
        <v>NA</v>
      </c>
    </row>
    <row r="664" spans="1:6" x14ac:dyDescent="0.3">
      <c r="A664" t="s">
        <v>53</v>
      </c>
      <c r="B664" t="s">
        <v>19</v>
      </c>
      <c r="C664">
        <v>1</v>
      </c>
      <c r="D664">
        <v>2025</v>
      </c>
      <c r="E664" cm="1">
        <f t="array" ref="E664">_xlfn.XLOOKUP(Table2[[#This Row],[college]]&amp;Table2[[#This Row],[division]]&amp;Table2[[#This Row],[year]],
Teams[college]&amp;Teams[division]&amp;Teams[year],
Teams[placing], "NA")</f>
        <v>4</v>
      </c>
      <c r="F664" s="1" cm="1">
        <f t="array" ref="F664">_xlfn.XLOOKUP(Table2[[#This Row],[college]]&amp;Table2[[#This Row],[division]]&amp;Table2[[#This Row],[year]],
Teams[college]&amp;Teams[division]&amp;Teams[year],
Teams[finish], "NA")</f>
        <v>0.57013888888888886</v>
      </c>
    </row>
    <row r="665" spans="1:6" x14ac:dyDescent="0.3">
      <c r="A665" t="s">
        <v>53</v>
      </c>
      <c r="B665" t="s">
        <v>19</v>
      </c>
      <c r="C665">
        <v>1</v>
      </c>
      <c r="D665">
        <v>2026</v>
      </c>
      <c r="E665" cm="1">
        <f t="array" ref="E665">_xlfn.XLOOKUP(Table2[[#This Row],[college]]&amp;Table2[[#This Row],[division]]&amp;Table2[[#This Row],[year]],
Teams[college]&amp;Teams[division]&amp;Teams[year],
Teams[placing], "NA")</f>
        <v>0</v>
      </c>
      <c r="F665" s="1" cm="1">
        <f t="array" ref="F665">_xlfn.XLOOKUP(Table2[[#This Row],[college]]&amp;Table2[[#This Row],[division]]&amp;Table2[[#This Row],[year]],
Teams[college]&amp;Teams[division]&amp;Teams[year],
Teams[finish], "NA")</f>
        <v>0</v>
      </c>
    </row>
    <row r="666" spans="1:6" x14ac:dyDescent="0.3">
      <c r="A666" t="s">
        <v>364</v>
      </c>
      <c r="B666" t="s">
        <v>5</v>
      </c>
      <c r="C666">
        <v>6</v>
      </c>
      <c r="D666">
        <v>2024</v>
      </c>
      <c r="E666" cm="1">
        <f t="array" ref="E666">_xlfn.XLOOKUP(Table2[[#This Row],[college]]&amp;Table2[[#This Row],[division]]&amp;Table2[[#This Row],[year]],
Teams[college]&amp;Teams[division]&amp;Teams[year],
Teams[placing], "NA")</f>
        <v>1</v>
      </c>
      <c r="F666" s="1" cm="1">
        <f t="array" ref="F666">_xlfn.XLOOKUP(Table2[[#This Row],[college]]&amp;Table2[[#This Row],[division]]&amp;Table2[[#This Row],[year]],
Teams[college]&amp;Teams[division]&amp;Teams[year],
Teams[finish], "NA")</f>
        <v>0.59722222222222221</v>
      </c>
    </row>
    <row r="667" spans="1:6" x14ac:dyDescent="0.3">
      <c r="A667" t="s">
        <v>326</v>
      </c>
      <c r="B667" t="s">
        <v>241</v>
      </c>
      <c r="C667">
        <v>7</v>
      </c>
      <c r="D667">
        <v>2025</v>
      </c>
      <c r="E667" cm="1">
        <f t="array" ref="E667">_xlfn.XLOOKUP(Table2[[#This Row],[college]]&amp;Table2[[#This Row],[division]]&amp;Table2[[#This Row],[year]],
Teams[college]&amp;Teams[division]&amp;Teams[year],
Teams[placing], "NA")</f>
        <v>10</v>
      </c>
      <c r="F667" s="1" cm="1">
        <f t="array" ref="F667">_xlfn.XLOOKUP(Table2[[#This Row],[college]]&amp;Table2[[#This Row],[division]]&amp;Table2[[#This Row],[year]],
Teams[college]&amp;Teams[division]&amp;Teams[year],
Teams[finish], "NA")</f>
        <v>0.61250000000000004</v>
      </c>
    </row>
    <row r="668" spans="1:6" x14ac:dyDescent="0.3">
      <c r="A668" t="s">
        <v>326</v>
      </c>
      <c r="B668" t="s">
        <v>241</v>
      </c>
      <c r="C668">
        <v>4</v>
      </c>
      <c r="D668">
        <v>2024</v>
      </c>
      <c r="E668" t="str" cm="1">
        <f t="array" ref="E668">_xlfn.XLOOKUP(Table2[[#This Row],[college]]&amp;Table2[[#This Row],[division]]&amp;Table2[[#This Row],[year]],
Teams[college]&amp;Teams[division]&amp;Teams[year],
Teams[placing], "NA")</f>
        <v>DNF</v>
      </c>
      <c r="F668" s="1" t="str" cm="1">
        <f t="array" ref="F668">_xlfn.XLOOKUP(Table2[[#This Row],[college]]&amp;Table2[[#This Row],[division]]&amp;Table2[[#This Row],[year]],
Teams[college]&amp;Teams[division]&amp;Teams[year],
Teams[finish], "NA")</f>
        <v>NA</v>
      </c>
    </row>
    <row r="669" spans="1:6" x14ac:dyDescent="0.3">
      <c r="A669" t="s">
        <v>699</v>
      </c>
      <c r="B669" t="s">
        <v>19</v>
      </c>
      <c r="C669">
        <v>1</v>
      </c>
      <c r="D669">
        <v>2022</v>
      </c>
      <c r="E669" t="str" cm="1">
        <f t="array" ref="E669">_xlfn.XLOOKUP(Table2[[#This Row],[college]]&amp;Table2[[#This Row],[division]]&amp;Table2[[#This Row],[year]],
Teams[college]&amp;Teams[division]&amp;Teams[year],
Teams[placing], "NA")</f>
        <v>DNF</v>
      </c>
      <c r="F669" s="1" t="str" cm="1">
        <f t="array" ref="F669">_xlfn.XLOOKUP(Table2[[#This Row],[college]]&amp;Table2[[#This Row],[division]]&amp;Table2[[#This Row],[year]],
Teams[college]&amp;Teams[division]&amp;Teams[year],
Teams[finish], "NA")</f>
        <v>NA</v>
      </c>
    </row>
    <row r="670" spans="1:6" x14ac:dyDescent="0.3">
      <c r="A670" t="s">
        <v>821</v>
      </c>
      <c r="B670" t="s">
        <v>787</v>
      </c>
      <c r="C670">
        <v>2</v>
      </c>
      <c r="D670">
        <v>2026</v>
      </c>
      <c r="E670" t="str" cm="1">
        <f t="array" ref="E670">_xlfn.XLOOKUP(Table2[[#This Row],[college]]&amp;Table2[[#This Row],[division]]&amp;Table2[[#This Row],[year]],
Teams[college]&amp;Teams[division]&amp;Teams[year],
Teams[placing], "NA")</f>
        <v>NA</v>
      </c>
      <c r="F670" s="1" t="str" cm="1">
        <f t="array" ref="F670">_xlfn.XLOOKUP(Table2[[#This Row],[college]]&amp;Table2[[#This Row],[division]]&amp;Table2[[#This Row],[year]],
Teams[college]&amp;Teams[division]&amp;Teams[year],
Teams[finish], "NA")</f>
        <v>NA</v>
      </c>
    </row>
    <row r="671" spans="1:6" x14ac:dyDescent="0.3">
      <c r="A671" t="s">
        <v>214</v>
      </c>
      <c r="B671" t="s">
        <v>123</v>
      </c>
      <c r="C671">
        <v>3</v>
      </c>
      <c r="D671">
        <v>2023</v>
      </c>
      <c r="E671" cm="1">
        <f t="array" ref="E671">_xlfn.XLOOKUP(Table2[[#This Row],[college]]&amp;Table2[[#This Row],[division]]&amp;Table2[[#This Row],[year]],
Teams[college]&amp;Teams[division]&amp;Teams[year],
Teams[placing], "NA")</f>
        <v>1</v>
      </c>
      <c r="F671" s="1" cm="1">
        <f t="array" ref="F671">_xlfn.XLOOKUP(Table2[[#This Row],[college]]&amp;Table2[[#This Row],[division]]&amp;Table2[[#This Row],[year]],
Teams[college]&amp;Teams[division]&amp;Teams[year],
Teams[finish], "NA")</f>
        <v>0.52777777777777779</v>
      </c>
    </row>
    <row r="672" spans="1:6" x14ac:dyDescent="0.3">
      <c r="A672" t="s">
        <v>214</v>
      </c>
      <c r="B672" t="s">
        <v>123</v>
      </c>
      <c r="C672">
        <v>1</v>
      </c>
      <c r="D672">
        <v>2024</v>
      </c>
      <c r="E672" cm="1">
        <f t="array" ref="E672">_xlfn.XLOOKUP(Table2[[#This Row],[college]]&amp;Table2[[#This Row],[division]]&amp;Table2[[#This Row],[year]],
Teams[college]&amp;Teams[division]&amp;Teams[year],
Teams[placing], "NA")</f>
        <v>4</v>
      </c>
      <c r="F672" s="1" cm="1">
        <f t="array" ref="F672">_xlfn.XLOOKUP(Table2[[#This Row],[college]]&amp;Table2[[#This Row],[division]]&amp;Table2[[#This Row],[year]],
Teams[college]&amp;Teams[division]&amp;Teams[year],
Teams[finish], "NA")</f>
        <v>0.55277777777777781</v>
      </c>
    </row>
    <row r="673" spans="1:6" x14ac:dyDescent="0.3">
      <c r="A673" t="s">
        <v>214</v>
      </c>
      <c r="B673" t="s">
        <v>123</v>
      </c>
      <c r="C673">
        <v>1</v>
      </c>
      <c r="D673">
        <v>2025</v>
      </c>
      <c r="E673" cm="1">
        <f t="array" ref="E673">_xlfn.XLOOKUP(Table2[[#This Row],[college]]&amp;Table2[[#This Row],[division]]&amp;Table2[[#This Row],[year]],
Teams[college]&amp;Teams[division]&amp;Teams[year],
Teams[placing], "NA")</f>
        <v>7</v>
      </c>
      <c r="F673" s="1" cm="1">
        <f t="array" ref="F673">_xlfn.XLOOKUP(Table2[[#This Row],[college]]&amp;Table2[[#This Row],[division]]&amp;Table2[[#This Row],[year]],
Teams[college]&amp;Teams[division]&amp;Teams[year],
Teams[finish], "NA")</f>
        <v>0.65625</v>
      </c>
    </row>
    <row r="674" spans="1:6" x14ac:dyDescent="0.3">
      <c r="A674" t="s">
        <v>214</v>
      </c>
      <c r="B674" t="s">
        <v>123</v>
      </c>
      <c r="C674">
        <v>1</v>
      </c>
      <c r="D674">
        <v>2026</v>
      </c>
      <c r="E674" cm="1">
        <f t="array" ref="E674">_xlfn.XLOOKUP(Table2[[#This Row],[college]]&amp;Table2[[#This Row],[division]]&amp;Table2[[#This Row],[year]],
Teams[college]&amp;Teams[division]&amp;Teams[year],
Teams[placing], "NA")</f>
        <v>0</v>
      </c>
      <c r="F674" s="1" cm="1">
        <f t="array" ref="F674">_xlfn.XLOOKUP(Table2[[#This Row],[college]]&amp;Table2[[#This Row],[division]]&amp;Table2[[#This Row],[year]],
Teams[college]&amp;Teams[division]&amp;Teams[year],
Teams[finish], "NA")</f>
        <v>0</v>
      </c>
    </row>
    <row r="675" spans="1:6" x14ac:dyDescent="0.3">
      <c r="A675" t="s">
        <v>169</v>
      </c>
      <c r="B675" t="s">
        <v>123</v>
      </c>
      <c r="C675">
        <v>5</v>
      </c>
      <c r="D675">
        <v>2025</v>
      </c>
      <c r="E675" cm="1">
        <f t="array" ref="E675">_xlfn.XLOOKUP(Table2[[#This Row],[college]]&amp;Table2[[#This Row],[division]]&amp;Table2[[#This Row],[year]],
Teams[college]&amp;Teams[division]&amp;Teams[year],
Teams[placing], "NA")</f>
        <v>3</v>
      </c>
      <c r="F675" s="1" cm="1">
        <f t="array" ref="F675">_xlfn.XLOOKUP(Table2[[#This Row],[college]]&amp;Table2[[#This Row],[division]]&amp;Table2[[#This Row],[year]],
Teams[college]&amp;Teams[division]&amp;Teams[year],
Teams[finish], "NA")</f>
        <v>0.44722222222222224</v>
      </c>
    </row>
    <row r="676" spans="1:6" x14ac:dyDescent="0.3">
      <c r="A676" t="s">
        <v>1002</v>
      </c>
      <c r="B676" t="s">
        <v>758</v>
      </c>
      <c r="C676">
        <v>6</v>
      </c>
      <c r="D676">
        <v>2025</v>
      </c>
      <c r="E676" t="str" cm="1">
        <f t="array" ref="E676">_xlfn.XLOOKUP(Table2[[#This Row],[college]]&amp;Table2[[#This Row],[division]]&amp;Table2[[#This Row],[year]],
Teams[college]&amp;Teams[division]&amp;Teams[year],
Teams[placing], "NA")</f>
        <v>NA</v>
      </c>
      <c r="F676" s="1" cm="1">
        <f t="array" ref="F676">_xlfn.XLOOKUP(Table2[[#This Row],[college]]&amp;Table2[[#This Row],[division]]&amp;Table2[[#This Row],[year]],
Teams[college]&amp;Teams[division]&amp;Teams[year],
Teams[finish], "NA")</f>
        <v>0.64097222222222228</v>
      </c>
    </row>
    <row r="677" spans="1:6" x14ac:dyDescent="0.3">
      <c r="A677" t="s">
        <v>314</v>
      </c>
      <c r="B677" t="s">
        <v>241</v>
      </c>
      <c r="C677">
        <v>3</v>
      </c>
      <c r="D677">
        <v>2024</v>
      </c>
      <c r="E677" cm="1">
        <f t="array" ref="E677">_xlfn.XLOOKUP(Table2[[#This Row],[college]]&amp;Table2[[#This Row],[division]]&amp;Table2[[#This Row],[year]],
Teams[college]&amp;Teams[division]&amp;Teams[year],
Teams[placing], "NA")</f>
        <v>2</v>
      </c>
      <c r="F677" s="1" cm="1">
        <f t="array" ref="F677">_xlfn.XLOOKUP(Table2[[#This Row],[college]]&amp;Table2[[#This Row],[division]]&amp;Table2[[#This Row],[year]],
Teams[college]&amp;Teams[division]&amp;Teams[year],
Teams[finish], "NA")</f>
        <v>0.58402777777777781</v>
      </c>
    </row>
    <row r="678" spans="1:6" x14ac:dyDescent="0.3">
      <c r="A678" t="s">
        <v>314</v>
      </c>
      <c r="B678" t="s">
        <v>241</v>
      </c>
      <c r="C678">
        <v>3</v>
      </c>
      <c r="D678">
        <v>2025</v>
      </c>
      <c r="E678" cm="1">
        <f t="array" ref="E678">_xlfn.XLOOKUP(Table2[[#This Row],[college]]&amp;Table2[[#This Row],[division]]&amp;Table2[[#This Row],[year]],
Teams[college]&amp;Teams[division]&amp;Teams[year],
Teams[placing], "NA")</f>
        <v>6</v>
      </c>
      <c r="F678" s="1" cm="1">
        <f t="array" ref="F678">_xlfn.XLOOKUP(Table2[[#This Row],[college]]&amp;Table2[[#This Row],[division]]&amp;Table2[[#This Row],[year]],
Teams[college]&amp;Teams[division]&amp;Teams[year],
Teams[finish], "NA")</f>
        <v>0.60972222222222228</v>
      </c>
    </row>
    <row r="679" spans="1:6" x14ac:dyDescent="0.3">
      <c r="A679" t="s">
        <v>314</v>
      </c>
      <c r="B679" t="s">
        <v>241</v>
      </c>
      <c r="C679">
        <v>2</v>
      </c>
      <c r="D679">
        <v>2026</v>
      </c>
      <c r="E679" cm="1">
        <f t="array" ref="E679">_xlfn.XLOOKUP(Table2[[#This Row],[college]]&amp;Table2[[#This Row],[division]]&amp;Table2[[#This Row],[year]],
Teams[college]&amp;Teams[division]&amp;Teams[year],
Teams[placing], "NA")</f>
        <v>0</v>
      </c>
      <c r="F679" s="1" cm="1">
        <f t="array" ref="F679">_xlfn.XLOOKUP(Table2[[#This Row],[college]]&amp;Table2[[#This Row],[division]]&amp;Table2[[#This Row],[year]],
Teams[college]&amp;Teams[division]&amp;Teams[year],
Teams[finish], "NA")</f>
        <v>0</v>
      </c>
    </row>
    <row r="680" spans="1:6" x14ac:dyDescent="0.3">
      <c r="A680" t="s">
        <v>670</v>
      </c>
      <c r="B680" t="s">
        <v>15</v>
      </c>
      <c r="C680">
        <v>1</v>
      </c>
      <c r="D680">
        <v>2022</v>
      </c>
      <c r="E680" cm="1">
        <f t="array" ref="E680">_xlfn.XLOOKUP(Table2[[#This Row],[college]]&amp;Table2[[#This Row],[division]]&amp;Table2[[#This Row],[year]],
Teams[college]&amp;Teams[division]&amp;Teams[year],
Teams[placing], "NA")</f>
        <v>2</v>
      </c>
      <c r="F680" s="1" cm="1">
        <f t="array" ref="F680">_xlfn.XLOOKUP(Table2[[#This Row],[college]]&amp;Table2[[#This Row],[division]]&amp;Table2[[#This Row],[year]],
Teams[college]&amp;Teams[division]&amp;Teams[year],
Teams[finish], "NA")</f>
        <v>0.48402777777777778</v>
      </c>
    </row>
    <row r="681" spans="1:6" x14ac:dyDescent="0.3">
      <c r="A681" t="s">
        <v>26</v>
      </c>
      <c r="B681" t="s">
        <v>19</v>
      </c>
      <c r="C681">
        <v>4</v>
      </c>
      <c r="D681">
        <v>2025</v>
      </c>
      <c r="E681" cm="1">
        <f t="array" ref="E681">_xlfn.XLOOKUP(Table2[[#This Row],[college]]&amp;Table2[[#This Row],[division]]&amp;Table2[[#This Row],[year]],
Teams[college]&amp;Teams[division]&amp;Teams[year],
Teams[placing], "NA")</f>
        <v>6</v>
      </c>
      <c r="F681" s="1" cm="1">
        <f t="array" ref="F681">_xlfn.XLOOKUP(Table2[[#This Row],[college]]&amp;Table2[[#This Row],[division]]&amp;Table2[[#This Row],[year]],
Teams[college]&amp;Teams[division]&amp;Teams[year],
Teams[finish], "NA")</f>
        <v>0.6430555555555556</v>
      </c>
    </row>
    <row r="682" spans="1:6" x14ac:dyDescent="0.3">
      <c r="A682" t="s">
        <v>26</v>
      </c>
      <c r="B682" t="s">
        <v>19</v>
      </c>
      <c r="C682">
        <v>6</v>
      </c>
      <c r="D682">
        <v>2024</v>
      </c>
      <c r="E682" t="str" cm="1">
        <f t="array" ref="E682">_xlfn.XLOOKUP(Table2[[#This Row],[college]]&amp;Table2[[#This Row],[division]]&amp;Table2[[#This Row],[year]],
Teams[college]&amp;Teams[division]&amp;Teams[year],
Teams[placing], "NA")</f>
        <v>DNF</v>
      </c>
      <c r="F682" s="1" t="str" cm="1">
        <f t="array" ref="F682">_xlfn.XLOOKUP(Table2[[#This Row],[college]]&amp;Table2[[#This Row],[division]]&amp;Table2[[#This Row],[year]],
Teams[college]&amp;Teams[division]&amp;Teams[year],
Teams[finish], "NA")</f>
        <v>NA</v>
      </c>
    </row>
    <row r="683" spans="1:6" x14ac:dyDescent="0.3">
      <c r="A683" t="s">
        <v>909</v>
      </c>
      <c r="B683" t="s">
        <v>266</v>
      </c>
      <c r="C683">
        <v>5</v>
      </c>
      <c r="D683">
        <v>2026</v>
      </c>
      <c r="E683" cm="1">
        <f t="array" ref="E683">_xlfn.XLOOKUP(Table2[[#This Row],[college]]&amp;Table2[[#This Row],[division]]&amp;Table2[[#This Row],[year]],
Teams[college]&amp;Teams[division]&amp;Teams[year],
Teams[placing], "NA")</f>
        <v>0</v>
      </c>
      <c r="F683" s="1" cm="1">
        <f t="array" ref="F683">_xlfn.XLOOKUP(Table2[[#This Row],[college]]&amp;Table2[[#This Row],[division]]&amp;Table2[[#This Row],[year]],
Teams[college]&amp;Teams[division]&amp;Teams[year],
Teams[finish], "NA")</f>
        <v>0</v>
      </c>
    </row>
    <row r="684" spans="1:6" x14ac:dyDescent="0.3">
      <c r="A684" t="s">
        <v>904</v>
      </c>
      <c r="B684" t="s">
        <v>787</v>
      </c>
      <c r="C684">
        <v>5</v>
      </c>
      <c r="D684">
        <v>2026</v>
      </c>
      <c r="E684" t="str" cm="1">
        <f t="array" ref="E684">_xlfn.XLOOKUP(Table2[[#This Row],[college]]&amp;Table2[[#This Row],[division]]&amp;Table2[[#This Row],[year]],
Teams[college]&amp;Teams[division]&amp;Teams[year],
Teams[placing], "NA")</f>
        <v>NA</v>
      </c>
      <c r="F684" s="1" t="str" cm="1">
        <f t="array" ref="F684">_xlfn.XLOOKUP(Table2[[#This Row],[college]]&amp;Table2[[#This Row],[division]]&amp;Table2[[#This Row],[year]],
Teams[college]&amp;Teams[division]&amp;Teams[year],
Teams[finish], "NA")</f>
        <v>NA</v>
      </c>
    </row>
    <row r="685" spans="1:6" x14ac:dyDescent="0.3">
      <c r="A685" t="s">
        <v>1007</v>
      </c>
      <c r="B685" t="s">
        <v>787</v>
      </c>
      <c r="C685">
        <v>2</v>
      </c>
      <c r="D685">
        <v>2026</v>
      </c>
      <c r="E685" t="str" cm="1">
        <f t="array" ref="E685">_xlfn.XLOOKUP(Table2[[#This Row],[college]]&amp;Table2[[#This Row],[division]]&amp;Table2[[#This Row],[year]],
Teams[college]&amp;Teams[division]&amp;Teams[year],
Teams[placing], "NA")</f>
        <v>NA</v>
      </c>
      <c r="F685" s="1" t="str" cm="1">
        <f t="array" ref="F685">_xlfn.XLOOKUP(Table2[[#This Row],[college]]&amp;Table2[[#This Row],[division]]&amp;Table2[[#This Row],[year]],
Teams[college]&amp;Teams[division]&amp;Teams[year],
Teams[finish], "NA")</f>
        <v>NA</v>
      </c>
    </row>
    <row r="686" spans="1:6" x14ac:dyDescent="0.3">
      <c r="A686" t="s">
        <v>954</v>
      </c>
      <c r="B686" t="s">
        <v>766</v>
      </c>
      <c r="C686">
        <v>7</v>
      </c>
      <c r="D686">
        <v>2026</v>
      </c>
      <c r="E686" cm="1">
        <f t="array" ref="E686">_xlfn.XLOOKUP(Table2[[#This Row],[college]]&amp;Table2[[#This Row],[division]]&amp;Table2[[#This Row],[year]],
Teams[college]&amp;Teams[division]&amp;Teams[year],
Teams[placing], "NA")</f>
        <v>0</v>
      </c>
      <c r="F686" s="1" cm="1">
        <f t="array" ref="F686">_xlfn.XLOOKUP(Table2[[#This Row],[college]]&amp;Table2[[#This Row],[division]]&amp;Table2[[#This Row],[year]],
Teams[college]&amp;Teams[division]&amp;Teams[year],
Teams[finish], "NA")</f>
        <v>0</v>
      </c>
    </row>
    <row r="687" spans="1:6" x14ac:dyDescent="0.3">
      <c r="A687" t="s">
        <v>344</v>
      </c>
      <c r="B687" t="s">
        <v>5</v>
      </c>
      <c r="C687">
        <v>2</v>
      </c>
      <c r="D687">
        <v>2024</v>
      </c>
      <c r="E687" cm="1">
        <f t="array" ref="E687">_xlfn.XLOOKUP(Table2[[#This Row],[college]]&amp;Table2[[#This Row],[division]]&amp;Table2[[#This Row],[year]],
Teams[college]&amp;Teams[division]&amp;Teams[year],
Teams[placing], "NA")</f>
        <v>2</v>
      </c>
      <c r="F687" s="1" cm="1">
        <f t="array" ref="F687">_xlfn.XLOOKUP(Table2[[#This Row],[college]]&amp;Table2[[#This Row],[division]]&amp;Table2[[#This Row],[year]],
Teams[college]&amp;Teams[division]&amp;Teams[year],
Teams[finish], "NA")</f>
        <v>0.51597222222222228</v>
      </c>
    </row>
    <row r="688" spans="1:6" x14ac:dyDescent="0.3">
      <c r="A688" t="s">
        <v>344</v>
      </c>
      <c r="B688" t="s">
        <v>5</v>
      </c>
      <c r="C688">
        <v>2</v>
      </c>
      <c r="D688">
        <v>2023</v>
      </c>
      <c r="E688" t="str" cm="1">
        <f t="array" ref="E688">_xlfn.XLOOKUP(Table2[[#This Row],[college]]&amp;Table2[[#This Row],[division]]&amp;Table2[[#This Row],[year]],
Teams[college]&amp;Teams[division]&amp;Teams[year],
Teams[placing], "NA")</f>
        <v>DNF</v>
      </c>
      <c r="F688" s="1" t="str" cm="1">
        <f t="array" ref="F688">_xlfn.XLOOKUP(Table2[[#This Row],[college]]&amp;Table2[[#This Row],[division]]&amp;Table2[[#This Row],[year]],
Teams[college]&amp;Teams[division]&amp;Teams[year],
Teams[finish], "NA")</f>
        <v>NA</v>
      </c>
    </row>
    <row r="689" spans="1:6" x14ac:dyDescent="0.3">
      <c r="A689" t="s">
        <v>528</v>
      </c>
      <c r="B689" t="s">
        <v>15</v>
      </c>
      <c r="C689">
        <v>1</v>
      </c>
      <c r="D689">
        <v>2023</v>
      </c>
      <c r="E689" cm="1">
        <f t="array" ref="E689">_xlfn.XLOOKUP(Table2[[#This Row],[college]]&amp;Table2[[#This Row],[division]]&amp;Table2[[#This Row],[year]],
Teams[college]&amp;Teams[division]&amp;Teams[year],
Teams[placing], "NA")</f>
        <v>1</v>
      </c>
      <c r="F689" s="1" cm="1">
        <f t="array" ref="F689">_xlfn.XLOOKUP(Table2[[#This Row],[college]]&amp;Table2[[#This Row],[division]]&amp;Table2[[#This Row],[year]],
Teams[college]&amp;Teams[division]&amp;Teams[year],
Teams[finish], "NA")</f>
        <v>0.52569444444444446</v>
      </c>
    </row>
    <row r="690" spans="1:6" x14ac:dyDescent="0.3">
      <c r="A690" t="s">
        <v>112</v>
      </c>
      <c r="B690" t="s">
        <v>15</v>
      </c>
      <c r="C690">
        <v>7</v>
      </c>
      <c r="D690">
        <v>2025</v>
      </c>
      <c r="E690" cm="1">
        <f t="array" ref="E690">_xlfn.XLOOKUP(Table2[[#This Row],[college]]&amp;Table2[[#This Row],[division]]&amp;Table2[[#This Row],[year]],
Teams[college]&amp;Teams[division]&amp;Teams[year],
Teams[placing], "NA")</f>
        <v>5</v>
      </c>
      <c r="F690" s="1" cm="1">
        <f t="array" ref="F690">_xlfn.XLOOKUP(Table2[[#This Row],[college]]&amp;Table2[[#This Row],[division]]&amp;Table2[[#This Row],[year]],
Teams[college]&amp;Teams[division]&amp;Teams[year],
Teams[finish], "NA")</f>
        <v>0.51388888888888884</v>
      </c>
    </row>
    <row r="691" spans="1:6" x14ac:dyDescent="0.3">
      <c r="A691" t="s">
        <v>116</v>
      </c>
      <c r="B691" t="s">
        <v>19</v>
      </c>
      <c r="C691">
        <v>7</v>
      </c>
      <c r="D691">
        <v>2025</v>
      </c>
      <c r="E691" cm="1">
        <f t="array" ref="E691">_xlfn.XLOOKUP(Table2[[#This Row],[college]]&amp;Table2[[#This Row],[division]]&amp;Table2[[#This Row],[year]],
Teams[college]&amp;Teams[division]&amp;Teams[year],
Teams[placing], "NA")</f>
        <v>4</v>
      </c>
      <c r="F691" s="1" cm="1">
        <f t="array" ref="F691">_xlfn.XLOOKUP(Table2[[#This Row],[college]]&amp;Table2[[#This Row],[division]]&amp;Table2[[#This Row],[year]],
Teams[college]&amp;Teams[division]&amp;Teams[year],
Teams[finish], "NA")</f>
        <v>0.50555555555555554</v>
      </c>
    </row>
    <row r="692" spans="1:6" x14ac:dyDescent="0.3">
      <c r="A692" t="s">
        <v>607</v>
      </c>
      <c r="B692" t="s">
        <v>250</v>
      </c>
      <c r="C692">
        <v>7</v>
      </c>
      <c r="D692">
        <v>2023</v>
      </c>
      <c r="E692" cm="1">
        <f t="array" ref="E692">_xlfn.XLOOKUP(Table2[[#This Row],[college]]&amp;Table2[[#This Row],[division]]&amp;Table2[[#This Row],[year]],
Teams[college]&amp;Teams[division]&amp;Teams[year],
Teams[placing], "NA")</f>
        <v>10</v>
      </c>
      <c r="F692" s="1" cm="1">
        <f t="array" ref="F692">_xlfn.XLOOKUP(Table2[[#This Row],[college]]&amp;Table2[[#This Row],[division]]&amp;Table2[[#This Row],[year]],
Teams[college]&amp;Teams[division]&amp;Teams[year],
Teams[finish], "NA")</f>
        <v>0.6743055555555556</v>
      </c>
    </row>
    <row r="693" spans="1:6" x14ac:dyDescent="0.3">
      <c r="A693" t="s">
        <v>288</v>
      </c>
      <c r="B693" t="s">
        <v>250</v>
      </c>
      <c r="C693">
        <v>6</v>
      </c>
      <c r="D693">
        <v>2025</v>
      </c>
      <c r="E693" cm="1">
        <f t="array" ref="E693">_xlfn.XLOOKUP(Table2[[#This Row],[college]]&amp;Table2[[#This Row],[division]]&amp;Table2[[#This Row],[year]],
Teams[college]&amp;Teams[division]&amp;Teams[year],
Teams[placing], "NA")</f>
        <v>5</v>
      </c>
      <c r="F693" s="1" cm="1">
        <f t="array" ref="F693">_xlfn.XLOOKUP(Table2[[#This Row],[college]]&amp;Table2[[#This Row],[division]]&amp;Table2[[#This Row],[year]],
Teams[college]&amp;Teams[division]&amp;Teams[year],
Teams[finish], "NA")</f>
        <v>0.5625</v>
      </c>
    </row>
    <row r="694" spans="1:6" x14ac:dyDescent="0.3">
      <c r="A694" t="s">
        <v>572</v>
      </c>
      <c r="B694" t="s">
        <v>48</v>
      </c>
      <c r="C694">
        <v>7</v>
      </c>
      <c r="D694">
        <v>2023</v>
      </c>
      <c r="E694" cm="1">
        <f t="array" ref="E694">_xlfn.XLOOKUP(Table2[[#This Row],[college]]&amp;Table2[[#This Row],[division]]&amp;Table2[[#This Row],[year]],
Teams[college]&amp;Teams[division]&amp;Teams[year],
Teams[placing], "NA")</f>
        <v>4</v>
      </c>
      <c r="F694" s="1" cm="1">
        <f t="array" ref="F694">_xlfn.XLOOKUP(Table2[[#This Row],[college]]&amp;Table2[[#This Row],[division]]&amp;Table2[[#This Row],[year]],
Teams[college]&amp;Teams[division]&amp;Teams[year],
Teams[finish], "NA")</f>
        <v>0.55972222222222223</v>
      </c>
    </row>
    <row r="695" spans="1:6" x14ac:dyDescent="0.3">
      <c r="A695" t="s">
        <v>226</v>
      </c>
      <c r="B695" t="s">
        <v>759</v>
      </c>
      <c r="C695">
        <v>5</v>
      </c>
      <c r="D695">
        <v>2025</v>
      </c>
      <c r="E695" t="str" cm="1">
        <f t="array" ref="E695">_xlfn.XLOOKUP(Table2[[#This Row],[college]]&amp;Table2[[#This Row],[division]]&amp;Table2[[#This Row],[year]],
Teams[college]&amp;Teams[division]&amp;Teams[year],
Teams[placing], "NA")</f>
        <v>NA</v>
      </c>
      <c r="F695" s="1" cm="1">
        <f t="array" ref="F695">_xlfn.XLOOKUP(Table2[[#This Row],[college]]&amp;Table2[[#This Row],[division]]&amp;Table2[[#This Row],[year]],
Teams[college]&amp;Teams[division]&amp;Teams[year],
Teams[finish], "NA")</f>
        <v>0.4597222222222222</v>
      </c>
    </row>
    <row r="696" spans="1:6" x14ac:dyDescent="0.3">
      <c r="A696" t="s">
        <v>722</v>
      </c>
      <c r="B696" t="s">
        <v>5</v>
      </c>
      <c r="C696">
        <v>1</v>
      </c>
      <c r="D696">
        <v>2022</v>
      </c>
      <c r="E696" cm="1">
        <f t="array" ref="E696">_xlfn.XLOOKUP(Table2[[#This Row],[college]]&amp;Table2[[#This Row],[division]]&amp;Table2[[#This Row],[year]],
Teams[college]&amp;Teams[division]&amp;Teams[year],
Teams[placing], "NA")</f>
        <v>1</v>
      </c>
      <c r="F696" s="1" cm="1">
        <f t="array" ref="F696">_xlfn.XLOOKUP(Table2[[#This Row],[college]]&amp;Table2[[#This Row],[division]]&amp;Table2[[#This Row],[year]],
Teams[college]&amp;Teams[division]&amp;Teams[year],
Teams[finish], "NA")</f>
        <v>0.45</v>
      </c>
    </row>
    <row r="697" spans="1:6" x14ac:dyDescent="0.3">
      <c r="A697" t="s">
        <v>63</v>
      </c>
      <c r="B697" t="s">
        <v>10</v>
      </c>
      <c r="C697">
        <v>2</v>
      </c>
      <c r="D697">
        <v>2025</v>
      </c>
      <c r="E697" t="str" cm="1">
        <f t="array" ref="E697">_xlfn.XLOOKUP(Table2[[#This Row],[college]]&amp;Table2[[#This Row],[division]]&amp;Table2[[#This Row],[year]],
Teams[college]&amp;Teams[division]&amp;Teams[year],
Teams[placing], "NA")</f>
        <v>DNF</v>
      </c>
      <c r="F697" s="1" t="str" cm="1">
        <f t="array" ref="F697">_xlfn.XLOOKUP(Table2[[#This Row],[college]]&amp;Table2[[#This Row],[division]]&amp;Table2[[#This Row],[year]],
Teams[college]&amp;Teams[division]&amp;Teams[year],
Teams[finish], "NA")</f>
        <v>NA</v>
      </c>
    </row>
    <row r="698" spans="1:6" x14ac:dyDescent="0.3">
      <c r="A698" t="s">
        <v>63</v>
      </c>
      <c r="B698" t="s">
        <v>10</v>
      </c>
      <c r="C698">
        <v>3</v>
      </c>
      <c r="D698">
        <v>2024</v>
      </c>
      <c r="E698" t="str" cm="1">
        <f t="array" ref="E698">_xlfn.XLOOKUP(Table2[[#This Row],[college]]&amp;Table2[[#This Row],[division]]&amp;Table2[[#This Row],[year]],
Teams[college]&amp;Teams[division]&amp;Teams[year],
Teams[placing], "NA")</f>
        <v>DNF</v>
      </c>
      <c r="F698" s="1" t="str" cm="1">
        <f t="array" ref="F698">_xlfn.XLOOKUP(Table2[[#This Row],[college]]&amp;Table2[[#This Row],[division]]&amp;Table2[[#This Row],[year]],
Teams[college]&amp;Teams[division]&amp;Teams[year],
Teams[finish], "NA")</f>
        <v>NA</v>
      </c>
    </row>
    <row r="699" spans="1:6" x14ac:dyDescent="0.3">
      <c r="A699" t="s">
        <v>454</v>
      </c>
      <c r="B699" t="s">
        <v>241</v>
      </c>
      <c r="C699">
        <v>4</v>
      </c>
      <c r="D699">
        <v>2024</v>
      </c>
      <c r="E699" t="str" cm="1">
        <f t="array" ref="E699">_xlfn.XLOOKUP(Table2[[#This Row],[college]]&amp;Table2[[#This Row],[division]]&amp;Table2[[#This Row],[year]],
Teams[college]&amp;Teams[division]&amp;Teams[year],
Teams[placing], "NA")</f>
        <v>DNF</v>
      </c>
      <c r="F699" s="1" t="str" cm="1">
        <f t="array" ref="F699">_xlfn.XLOOKUP(Table2[[#This Row],[college]]&amp;Table2[[#This Row],[division]]&amp;Table2[[#This Row],[year]],
Teams[college]&amp;Teams[division]&amp;Teams[year],
Teams[finish], "NA")</f>
        <v>NA</v>
      </c>
    </row>
    <row r="700" spans="1:6" x14ac:dyDescent="0.3">
      <c r="A700" t="s">
        <v>37</v>
      </c>
      <c r="B700" t="s">
        <v>754</v>
      </c>
      <c r="C700">
        <v>6</v>
      </c>
      <c r="D700">
        <v>2025</v>
      </c>
      <c r="E700" t="str" cm="1">
        <f t="array" ref="E700">_xlfn.XLOOKUP(Table2[[#This Row],[college]]&amp;Table2[[#This Row],[division]]&amp;Table2[[#This Row],[year]],
Teams[college]&amp;Teams[division]&amp;Teams[year],
Teams[placing], "NA")</f>
        <v>NA</v>
      </c>
      <c r="F700" s="1" cm="1">
        <f t="array" ref="F700">_xlfn.XLOOKUP(Table2[[#This Row],[college]]&amp;Table2[[#This Row],[division]]&amp;Table2[[#This Row],[year]],
Teams[college]&amp;Teams[division]&amp;Teams[year],
Teams[finish], "NA")</f>
        <v>0.53194444444444444</v>
      </c>
    </row>
    <row r="701" spans="1:6" x14ac:dyDescent="0.3">
      <c r="A701" t="s">
        <v>321</v>
      </c>
      <c r="B701" t="s">
        <v>266</v>
      </c>
      <c r="C701">
        <v>4</v>
      </c>
      <c r="D701">
        <v>2025</v>
      </c>
      <c r="E701" cm="1">
        <f t="array" ref="E701">_xlfn.XLOOKUP(Table2[[#This Row],[college]]&amp;Table2[[#This Row],[division]]&amp;Table2[[#This Row],[year]],
Teams[college]&amp;Teams[division]&amp;Teams[year],
Teams[placing], "NA")</f>
        <v>7</v>
      </c>
      <c r="F701" s="1" cm="1">
        <f t="array" ref="F701">_xlfn.XLOOKUP(Table2[[#This Row],[college]]&amp;Table2[[#This Row],[division]]&amp;Table2[[#This Row],[year]],
Teams[college]&amp;Teams[division]&amp;Teams[year],
Teams[finish], "NA")</f>
        <v>0.65347222222222223</v>
      </c>
    </row>
    <row r="702" spans="1:6" x14ac:dyDescent="0.3">
      <c r="A702" t="s">
        <v>636</v>
      </c>
      <c r="B702" t="s">
        <v>137</v>
      </c>
      <c r="C702">
        <v>2</v>
      </c>
      <c r="D702">
        <v>2023</v>
      </c>
      <c r="E702" cm="1">
        <f t="array" ref="E702">_xlfn.XLOOKUP(Table2[[#This Row],[college]]&amp;Table2[[#This Row],[division]]&amp;Table2[[#This Row],[year]],
Teams[college]&amp;Teams[division]&amp;Teams[year],
Teams[placing], "NA")</f>
        <v>5</v>
      </c>
      <c r="F702" s="1" cm="1">
        <f t="array" ref="F702">_xlfn.XLOOKUP(Table2[[#This Row],[college]]&amp;Table2[[#This Row],[division]]&amp;Table2[[#This Row],[year]],
Teams[college]&amp;Teams[division]&amp;Teams[year],
Teams[finish], "NA")</f>
        <v>0.59722222222222221</v>
      </c>
    </row>
    <row r="703" spans="1:6" x14ac:dyDescent="0.3">
      <c r="A703" t="s">
        <v>103</v>
      </c>
      <c r="B703" t="s">
        <v>754</v>
      </c>
      <c r="C703">
        <v>2</v>
      </c>
      <c r="D703">
        <v>2025</v>
      </c>
      <c r="E703" t="str" cm="1">
        <f t="array" ref="E703">_xlfn.XLOOKUP(Table2[[#This Row],[college]]&amp;Table2[[#This Row],[division]]&amp;Table2[[#This Row],[year]],
Teams[college]&amp;Teams[division]&amp;Teams[year],
Teams[placing], "NA")</f>
        <v>NA</v>
      </c>
      <c r="F703" s="1" cm="1">
        <f t="array" ref="F703">_xlfn.XLOOKUP(Table2[[#This Row],[college]]&amp;Table2[[#This Row],[division]]&amp;Table2[[#This Row],[year]],
Teams[college]&amp;Teams[division]&amp;Teams[year],
Teams[finish], "NA")</f>
        <v>0.4861111111111111</v>
      </c>
    </row>
    <row r="704" spans="1:6" x14ac:dyDescent="0.3">
      <c r="A704" t="s">
        <v>430</v>
      </c>
      <c r="B704" t="s">
        <v>754</v>
      </c>
      <c r="C704">
        <v>5</v>
      </c>
      <c r="D704">
        <v>2024</v>
      </c>
      <c r="E704" t="str" cm="1">
        <f t="array" ref="E704">_xlfn.XLOOKUP(Table2[[#This Row],[college]]&amp;Table2[[#This Row],[division]]&amp;Table2[[#This Row],[year]],
Teams[college]&amp;Teams[division]&amp;Teams[year],
Teams[placing], "NA")</f>
        <v>NA</v>
      </c>
      <c r="F704" s="1" cm="1">
        <f t="array" ref="F704">_xlfn.XLOOKUP(Table2[[#This Row],[college]]&amp;Table2[[#This Row],[division]]&amp;Table2[[#This Row],[year]],
Teams[college]&amp;Teams[division]&amp;Teams[year],
Teams[finish], "NA")</f>
        <v>0.4777777777777778</v>
      </c>
    </row>
    <row r="705" spans="1:6" x14ac:dyDescent="0.3">
      <c r="A705" t="s">
        <v>419</v>
      </c>
      <c r="B705" t="s">
        <v>266</v>
      </c>
      <c r="C705">
        <v>4</v>
      </c>
      <c r="D705">
        <v>2023</v>
      </c>
      <c r="E705" cm="1">
        <f t="array" ref="E705">_xlfn.XLOOKUP(Table2[[#This Row],[college]]&amp;Table2[[#This Row],[division]]&amp;Table2[[#This Row],[year]],
Teams[college]&amp;Teams[division]&amp;Teams[year],
Teams[placing], "NA")</f>
        <v>2</v>
      </c>
      <c r="F705" s="1" cm="1">
        <f t="array" ref="F705">_xlfn.XLOOKUP(Table2[[#This Row],[college]]&amp;Table2[[#This Row],[division]]&amp;Table2[[#This Row],[year]],
Teams[college]&amp;Teams[division]&amp;Teams[year],
Teams[finish], "NA")</f>
        <v>0.54097222222222219</v>
      </c>
    </row>
    <row r="706" spans="1:6" x14ac:dyDescent="0.3">
      <c r="A706" t="s">
        <v>419</v>
      </c>
      <c r="B706" t="s">
        <v>266</v>
      </c>
      <c r="C706">
        <v>4</v>
      </c>
      <c r="D706">
        <v>2024</v>
      </c>
      <c r="E706" cm="1">
        <f t="array" ref="E706">_xlfn.XLOOKUP(Table2[[#This Row],[college]]&amp;Table2[[#This Row],[division]]&amp;Table2[[#This Row],[year]],
Teams[college]&amp;Teams[division]&amp;Teams[year],
Teams[placing], "NA")</f>
        <v>2</v>
      </c>
      <c r="F706" s="1" cm="1">
        <f t="array" ref="F706">_xlfn.XLOOKUP(Table2[[#This Row],[college]]&amp;Table2[[#This Row],[division]]&amp;Table2[[#This Row],[year]],
Teams[college]&amp;Teams[division]&amp;Teams[year],
Teams[finish], "NA")</f>
        <v>0.63749999999999996</v>
      </c>
    </row>
    <row r="707" spans="1:6" x14ac:dyDescent="0.3">
      <c r="A707" t="s">
        <v>576</v>
      </c>
      <c r="B707" t="s">
        <v>10</v>
      </c>
      <c r="C707">
        <v>5</v>
      </c>
      <c r="D707">
        <v>2023</v>
      </c>
      <c r="E707" t="str" cm="1">
        <f t="array" ref="E707">_xlfn.XLOOKUP(Table2[[#This Row],[college]]&amp;Table2[[#This Row],[division]]&amp;Table2[[#This Row],[year]],
Teams[college]&amp;Teams[division]&amp;Teams[year],
Teams[placing], "NA")</f>
        <v>DNF</v>
      </c>
      <c r="F707" s="1" t="str" cm="1">
        <f t="array" ref="F707">_xlfn.XLOOKUP(Table2[[#This Row],[college]]&amp;Table2[[#This Row],[division]]&amp;Table2[[#This Row],[year]],
Teams[college]&amp;Teams[division]&amp;Teams[year],
Teams[finish], "NA")</f>
        <v>NA</v>
      </c>
    </row>
    <row r="708" spans="1:6" x14ac:dyDescent="0.3">
      <c r="A708" t="s">
        <v>92</v>
      </c>
      <c r="B708" t="s">
        <v>756</v>
      </c>
      <c r="C708">
        <v>5</v>
      </c>
      <c r="D708">
        <v>2025</v>
      </c>
      <c r="E708" t="str" cm="1">
        <f t="array" ref="E708">_xlfn.XLOOKUP(Table2[[#This Row],[college]]&amp;Table2[[#This Row],[division]]&amp;Table2[[#This Row],[year]],
Teams[college]&amp;Teams[division]&amp;Teams[year],
Teams[placing], "NA")</f>
        <v>NA</v>
      </c>
      <c r="F708" s="1" cm="1">
        <f t="array" ref="F708">_xlfn.XLOOKUP(Table2[[#This Row],[college]]&amp;Table2[[#This Row],[division]]&amp;Table2[[#This Row],[year]],
Teams[college]&amp;Teams[division]&amp;Teams[year],
Teams[finish], "NA")</f>
        <v>0.52708333333333335</v>
      </c>
    </row>
    <row r="709" spans="1:6" x14ac:dyDescent="0.3">
      <c r="A709" t="s">
        <v>657</v>
      </c>
      <c r="B709" t="s">
        <v>123</v>
      </c>
      <c r="C709">
        <v>5</v>
      </c>
      <c r="D709">
        <v>2022</v>
      </c>
      <c r="E709" cm="1">
        <f t="array" ref="E709">_xlfn.XLOOKUP(Table2[[#This Row],[college]]&amp;Table2[[#This Row],[division]]&amp;Table2[[#This Row],[year]],
Teams[college]&amp;Teams[division]&amp;Teams[year],
Teams[placing], "NA")</f>
        <v>1</v>
      </c>
      <c r="F709" s="1" cm="1">
        <f t="array" ref="F709">_xlfn.XLOOKUP(Table2[[#This Row],[college]]&amp;Table2[[#This Row],[division]]&amp;Table2[[#This Row],[year]],
Teams[college]&amp;Teams[division]&amp;Teams[year],
Teams[finish], "NA")</f>
        <v>0.44305555555555554</v>
      </c>
    </row>
    <row r="710" spans="1:6" x14ac:dyDescent="0.3">
      <c r="A710" t="s">
        <v>657</v>
      </c>
      <c r="B710" t="s">
        <v>241</v>
      </c>
      <c r="C710">
        <v>5</v>
      </c>
      <c r="D710">
        <v>2024</v>
      </c>
      <c r="E710" t="str" cm="1">
        <f t="array" ref="E710">_xlfn.XLOOKUP(Table2[[#This Row],[college]]&amp;Table2[[#This Row],[division]]&amp;Table2[[#This Row],[year]],
Teams[college]&amp;Teams[division]&amp;Teams[year],
Teams[placing], "NA")</f>
        <v>DNF</v>
      </c>
      <c r="F710" s="1" t="str" cm="1">
        <f t="array" ref="F710">_xlfn.XLOOKUP(Table2[[#This Row],[college]]&amp;Table2[[#This Row],[division]]&amp;Table2[[#This Row],[year]],
Teams[college]&amp;Teams[division]&amp;Teams[year],
Teams[finish], "NA")</f>
        <v>NA</v>
      </c>
    </row>
    <row r="711" spans="1:6" x14ac:dyDescent="0.3">
      <c r="A711" t="s">
        <v>155</v>
      </c>
      <c r="B711" t="s">
        <v>137</v>
      </c>
      <c r="C711">
        <v>1</v>
      </c>
      <c r="D711">
        <v>2025</v>
      </c>
      <c r="E711" cm="1">
        <f t="array" ref="E711">_xlfn.XLOOKUP(Table2[[#This Row],[college]]&amp;Table2[[#This Row],[division]]&amp;Table2[[#This Row],[year]],
Teams[college]&amp;Teams[division]&amp;Teams[year],
Teams[placing], "NA")</f>
        <v>5</v>
      </c>
      <c r="F711" s="1" cm="1">
        <f t="array" ref="F711">_xlfn.XLOOKUP(Table2[[#This Row],[college]]&amp;Table2[[#This Row],[division]]&amp;Table2[[#This Row],[year]],
Teams[college]&amp;Teams[division]&amp;Teams[year],
Teams[finish], "NA")</f>
        <v>0.59861111111111109</v>
      </c>
    </row>
    <row r="712" spans="1:6" x14ac:dyDescent="0.3">
      <c r="A712" t="s">
        <v>963</v>
      </c>
      <c r="B712" t="s">
        <v>250</v>
      </c>
      <c r="C712">
        <v>7</v>
      </c>
      <c r="D712">
        <v>2026</v>
      </c>
      <c r="E712" cm="1">
        <f t="array" ref="E712">_xlfn.XLOOKUP(Table2[[#This Row],[college]]&amp;Table2[[#This Row],[division]]&amp;Table2[[#This Row],[year]],
Teams[college]&amp;Teams[division]&amp;Teams[year],
Teams[placing], "NA")</f>
        <v>0</v>
      </c>
      <c r="F712" s="1" cm="1">
        <f t="array" ref="F712">_xlfn.XLOOKUP(Table2[[#This Row],[college]]&amp;Table2[[#This Row],[division]]&amp;Table2[[#This Row],[year]],
Teams[college]&amp;Teams[division]&amp;Teams[year],
Teams[finish], "NA")</f>
        <v>0</v>
      </c>
    </row>
    <row r="713" spans="1:6" x14ac:dyDescent="0.3">
      <c r="A713" t="s">
        <v>577</v>
      </c>
      <c r="B713" t="s">
        <v>10</v>
      </c>
      <c r="C713">
        <v>5</v>
      </c>
      <c r="D713">
        <v>2022</v>
      </c>
      <c r="E713" cm="1">
        <f t="array" ref="E713">_xlfn.XLOOKUP(Table2[[#This Row],[college]]&amp;Table2[[#This Row],[division]]&amp;Table2[[#This Row],[year]],
Teams[college]&amp;Teams[division]&amp;Teams[year],
Teams[placing], "NA")</f>
        <v>5</v>
      </c>
      <c r="F713" s="1" cm="1">
        <f t="array" ref="F713">_xlfn.XLOOKUP(Table2[[#This Row],[college]]&amp;Table2[[#This Row],[division]]&amp;Table2[[#This Row],[year]],
Teams[college]&amp;Teams[division]&amp;Teams[year],
Teams[finish], "NA")</f>
        <v>0.53333333333333333</v>
      </c>
    </row>
    <row r="714" spans="1:6" x14ac:dyDescent="0.3">
      <c r="A714" t="s">
        <v>577</v>
      </c>
      <c r="B714" t="s">
        <v>10</v>
      </c>
      <c r="C714">
        <v>5</v>
      </c>
      <c r="D714">
        <v>2023</v>
      </c>
      <c r="E714" t="str" cm="1">
        <f t="array" ref="E714">_xlfn.XLOOKUP(Table2[[#This Row],[college]]&amp;Table2[[#This Row],[division]]&amp;Table2[[#This Row],[year]],
Teams[college]&amp;Teams[division]&amp;Teams[year],
Teams[placing], "NA")</f>
        <v>DNF</v>
      </c>
      <c r="F714" s="1" t="str" cm="1">
        <f t="array" ref="F714">_xlfn.XLOOKUP(Table2[[#This Row],[college]]&amp;Table2[[#This Row],[division]]&amp;Table2[[#This Row],[year]],
Teams[college]&amp;Teams[division]&amp;Teams[year],
Teams[finish], "NA")</f>
        <v>NA</v>
      </c>
    </row>
    <row r="715" spans="1:6" x14ac:dyDescent="0.3">
      <c r="A715" t="s">
        <v>262</v>
      </c>
      <c r="B715" t="s">
        <v>10</v>
      </c>
      <c r="C715">
        <v>6</v>
      </c>
      <c r="D715">
        <v>2025</v>
      </c>
      <c r="E715" cm="1">
        <f t="array" ref="E715">_xlfn.XLOOKUP(Table2[[#This Row],[college]]&amp;Table2[[#This Row],[division]]&amp;Table2[[#This Row],[year]],
Teams[college]&amp;Teams[division]&amp;Teams[year],
Teams[placing], "NA")</f>
        <v>3</v>
      </c>
      <c r="F715" s="1" cm="1">
        <f t="array" ref="F715">_xlfn.XLOOKUP(Table2[[#This Row],[college]]&amp;Table2[[#This Row],[division]]&amp;Table2[[#This Row],[year]],
Teams[college]&amp;Teams[division]&amp;Teams[year],
Teams[finish], "NA")</f>
        <v>0.51597222222222228</v>
      </c>
    </row>
    <row r="716" spans="1:6" x14ac:dyDescent="0.3">
      <c r="A716" t="s">
        <v>262</v>
      </c>
      <c r="B716" t="s">
        <v>10</v>
      </c>
      <c r="C716">
        <v>3</v>
      </c>
      <c r="D716">
        <v>2026</v>
      </c>
      <c r="E716" cm="1">
        <f t="array" ref="E716">_xlfn.XLOOKUP(Table2[[#This Row],[college]]&amp;Table2[[#This Row],[division]]&amp;Table2[[#This Row],[year]],
Teams[college]&amp;Teams[division]&amp;Teams[year],
Teams[placing], "NA")</f>
        <v>0</v>
      </c>
      <c r="F716" s="1" cm="1">
        <f t="array" ref="F716">_xlfn.XLOOKUP(Table2[[#This Row],[college]]&amp;Table2[[#This Row],[division]]&amp;Table2[[#This Row],[year]],
Teams[college]&amp;Teams[division]&amp;Teams[year],
Teams[finish], "NA")</f>
        <v>0</v>
      </c>
    </row>
    <row r="717" spans="1:6" x14ac:dyDescent="0.3">
      <c r="A717" t="s">
        <v>73</v>
      </c>
      <c r="B717" t="s">
        <v>19</v>
      </c>
      <c r="C717">
        <v>2</v>
      </c>
      <c r="D717">
        <v>2025</v>
      </c>
      <c r="E717" cm="1">
        <f t="array" ref="E717">_xlfn.XLOOKUP(Table2[[#This Row],[college]]&amp;Table2[[#This Row],[division]]&amp;Table2[[#This Row],[year]],
Teams[college]&amp;Teams[division]&amp;Teams[year],
Teams[placing], "NA")</f>
        <v>4</v>
      </c>
      <c r="F717" s="1" cm="1">
        <f t="array" ref="F717">_xlfn.XLOOKUP(Table2[[#This Row],[college]]&amp;Table2[[#This Row],[division]]&amp;Table2[[#This Row],[year]],
Teams[college]&amp;Teams[division]&amp;Teams[year],
Teams[finish], "NA")</f>
        <v>0.57013888888888886</v>
      </c>
    </row>
    <row r="718" spans="1:6" x14ac:dyDescent="0.3">
      <c r="A718" t="s">
        <v>73</v>
      </c>
      <c r="B718" t="s">
        <v>19</v>
      </c>
      <c r="C718">
        <v>3</v>
      </c>
      <c r="D718">
        <v>2024</v>
      </c>
      <c r="E718" cm="1">
        <f t="array" ref="E718">_xlfn.XLOOKUP(Table2[[#This Row],[college]]&amp;Table2[[#This Row],[division]]&amp;Table2[[#This Row],[year]],
Teams[college]&amp;Teams[division]&amp;Teams[year],
Teams[placing], "NA")</f>
        <v>5</v>
      </c>
      <c r="F718" s="1" cm="1">
        <f t="array" ref="F718">_xlfn.XLOOKUP(Table2[[#This Row],[college]]&amp;Table2[[#This Row],[division]]&amp;Table2[[#This Row],[year]],
Teams[college]&amp;Teams[division]&amp;Teams[year],
Teams[finish], "NA")</f>
        <v>0.70138888888888884</v>
      </c>
    </row>
    <row r="719" spans="1:6" x14ac:dyDescent="0.3">
      <c r="A719" t="s">
        <v>303</v>
      </c>
      <c r="B719" t="s">
        <v>755</v>
      </c>
      <c r="C719">
        <v>6</v>
      </c>
      <c r="D719">
        <v>2025</v>
      </c>
      <c r="E719" t="str" cm="1">
        <f t="array" ref="E719">_xlfn.XLOOKUP(Table2[[#This Row],[college]]&amp;Table2[[#This Row],[division]]&amp;Table2[[#This Row],[year]],
Teams[college]&amp;Teams[division]&amp;Teams[year],
Teams[placing], "NA")</f>
        <v>NA</v>
      </c>
      <c r="F719" s="1" cm="1">
        <f t="array" ref="F719">_xlfn.XLOOKUP(Table2[[#This Row],[college]]&amp;Table2[[#This Row],[division]]&amp;Table2[[#This Row],[year]],
Teams[college]&amp;Teams[division]&amp;Teams[year],
Teams[finish], "NA")</f>
        <v>0.55000000000000004</v>
      </c>
    </row>
    <row r="720" spans="1:6" x14ac:dyDescent="0.3">
      <c r="A720" t="s">
        <v>456</v>
      </c>
      <c r="B720" t="s">
        <v>19</v>
      </c>
      <c r="C720">
        <v>4</v>
      </c>
      <c r="D720">
        <v>2024</v>
      </c>
      <c r="E720" cm="1">
        <f t="array" ref="E720">_xlfn.XLOOKUP(Table2[[#This Row],[college]]&amp;Table2[[#This Row],[division]]&amp;Table2[[#This Row],[year]],
Teams[college]&amp;Teams[division]&amp;Teams[year],
Teams[placing], "NA")</f>
        <v>5</v>
      </c>
      <c r="F720" s="1" cm="1">
        <f t="array" ref="F720">_xlfn.XLOOKUP(Table2[[#This Row],[college]]&amp;Table2[[#This Row],[division]]&amp;Table2[[#This Row],[year]],
Teams[college]&amp;Teams[division]&amp;Teams[year],
Teams[finish], "NA")</f>
        <v>0.65833333333333333</v>
      </c>
    </row>
    <row r="721" spans="1:6" x14ac:dyDescent="0.3">
      <c r="A721" t="s">
        <v>255</v>
      </c>
      <c r="B721" t="s">
        <v>250</v>
      </c>
      <c r="C721">
        <v>1</v>
      </c>
      <c r="D721">
        <v>2025</v>
      </c>
      <c r="E721" cm="1">
        <f t="array" ref="E721">_xlfn.XLOOKUP(Table2[[#This Row],[college]]&amp;Table2[[#This Row],[division]]&amp;Table2[[#This Row],[year]],
Teams[college]&amp;Teams[division]&amp;Teams[year],
Teams[placing], "NA")</f>
        <v>9</v>
      </c>
      <c r="F721" s="1" cm="1">
        <f t="array" ref="F721">_xlfn.XLOOKUP(Table2[[#This Row],[college]]&amp;Table2[[#This Row],[division]]&amp;Table2[[#This Row],[year]],
Teams[college]&amp;Teams[division]&amp;Teams[year],
Teams[finish], "NA")</f>
        <v>0.68680555555555556</v>
      </c>
    </row>
    <row r="722" spans="1:6" x14ac:dyDescent="0.3">
      <c r="A722" t="s">
        <v>255</v>
      </c>
      <c r="B722" t="s">
        <v>250</v>
      </c>
      <c r="C722">
        <v>4</v>
      </c>
      <c r="D722">
        <v>2024</v>
      </c>
      <c r="E722" t="str" cm="1">
        <f t="array" ref="E722">_xlfn.XLOOKUP(Table2[[#This Row],[college]]&amp;Table2[[#This Row],[division]]&amp;Table2[[#This Row],[year]],
Teams[college]&amp;Teams[division]&amp;Teams[year],
Teams[placing], "NA")</f>
        <v>DNF</v>
      </c>
      <c r="F722" s="1" t="str" cm="1">
        <f t="array" ref="F722">_xlfn.XLOOKUP(Table2[[#This Row],[college]]&amp;Table2[[#This Row],[division]]&amp;Table2[[#This Row],[year]],
Teams[college]&amp;Teams[division]&amp;Teams[year],
Teams[finish], "NA")</f>
        <v>NA</v>
      </c>
    </row>
    <row r="723" spans="1:6" x14ac:dyDescent="0.3">
      <c r="A723" t="s">
        <v>891</v>
      </c>
      <c r="B723" t="s">
        <v>766</v>
      </c>
      <c r="C723">
        <v>5</v>
      </c>
      <c r="D723">
        <v>2026</v>
      </c>
      <c r="E723" cm="1">
        <f t="array" ref="E723">_xlfn.XLOOKUP(Table2[[#This Row],[college]]&amp;Table2[[#This Row],[division]]&amp;Table2[[#This Row],[year]],
Teams[college]&amp;Teams[division]&amp;Teams[year],
Teams[placing], "NA")</f>
        <v>0</v>
      </c>
      <c r="F723" s="1" cm="1">
        <f t="array" ref="F723">_xlfn.XLOOKUP(Table2[[#This Row],[college]]&amp;Table2[[#This Row],[division]]&amp;Table2[[#This Row],[year]],
Teams[college]&amp;Teams[division]&amp;Teams[year],
Teams[finish], "NA")</f>
        <v>0</v>
      </c>
    </row>
    <row r="724" spans="1:6" x14ac:dyDescent="0.3">
      <c r="A724" t="s">
        <v>713</v>
      </c>
      <c r="B724" t="s">
        <v>132</v>
      </c>
      <c r="C724">
        <v>6</v>
      </c>
      <c r="D724">
        <v>2022</v>
      </c>
      <c r="E724" cm="1">
        <f t="array" ref="E724">_xlfn.XLOOKUP(Table2[[#This Row],[college]]&amp;Table2[[#This Row],[division]]&amp;Table2[[#This Row],[year]],
Teams[college]&amp;Teams[division]&amp;Teams[year],
Teams[placing], "NA")</f>
        <v>8</v>
      </c>
      <c r="F724" s="1" cm="1">
        <f t="array" ref="F724">_xlfn.XLOOKUP(Table2[[#This Row],[college]]&amp;Table2[[#This Row],[division]]&amp;Table2[[#This Row],[year]],
Teams[college]&amp;Teams[division]&amp;Teams[year],
Teams[finish], "NA")</f>
        <v>0.66319444444444442</v>
      </c>
    </row>
    <row r="725" spans="1:6" x14ac:dyDescent="0.3">
      <c r="A725" t="s">
        <v>688</v>
      </c>
      <c r="B725" t="s">
        <v>10</v>
      </c>
      <c r="C725">
        <v>7</v>
      </c>
      <c r="D725">
        <v>2022</v>
      </c>
      <c r="E725" cm="1">
        <f t="array" ref="E725">_xlfn.XLOOKUP(Table2[[#This Row],[college]]&amp;Table2[[#This Row],[division]]&amp;Table2[[#This Row],[year]],
Teams[college]&amp;Teams[division]&amp;Teams[year],
Teams[placing], "NA")</f>
        <v>6</v>
      </c>
      <c r="F725" s="1" cm="1">
        <f t="array" ref="F725">_xlfn.XLOOKUP(Table2[[#This Row],[college]]&amp;Table2[[#This Row],[division]]&amp;Table2[[#This Row],[year]],
Teams[college]&amp;Teams[division]&amp;Teams[year],
Teams[finish], "NA")</f>
        <v>0.47499999999999998</v>
      </c>
    </row>
    <row r="726" spans="1:6" x14ac:dyDescent="0.3">
      <c r="A726" t="s">
        <v>859</v>
      </c>
      <c r="B726" t="s">
        <v>19</v>
      </c>
      <c r="C726">
        <v>4</v>
      </c>
      <c r="D726">
        <v>2026</v>
      </c>
      <c r="E726" cm="1">
        <f t="array" ref="E726">_xlfn.XLOOKUP(Table2[[#This Row],[college]]&amp;Table2[[#This Row],[division]]&amp;Table2[[#This Row],[year]],
Teams[college]&amp;Teams[division]&amp;Teams[year],
Teams[placing], "NA")</f>
        <v>0</v>
      </c>
      <c r="F726" s="1" cm="1">
        <f t="array" ref="F726">_xlfn.XLOOKUP(Table2[[#This Row],[college]]&amp;Table2[[#This Row],[division]]&amp;Table2[[#This Row],[year]],
Teams[college]&amp;Teams[division]&amp;Teams[year],
Teams[finish], "NA")</f>
        <v>0</v>
      </c>
    </row>
    <row r="727" spans="1:6" x14ac:dyDescent="0.3">
      <c r="A727" t="s">
        <v>307</v>
      </c>
      <c r="B727" t="s">
        <v>241</v>
      </c>
      <c r="C727">
        <v>5</v>
      </c>
      <c r="D727">
        <v>2025</v>
      </c>
      <c r="E727" cm="1">
        <f t="array" ref="E727">_xlfn.XLOOKUP(Table2[[#This Row],[college]]&amp;Table2[[#This Row],[division]]&amp;Table2[[#This Row],[year]],
Teams[college]&amp;Teams[division]&amp;Teams[year],
Teams[placing], "NA")</f>
        <v>11</v>
      </c>
      <c r="F727" s="1" cm="1">
        <f t="array" ref="F727">_xlfn.XLOOKUP(Table2[[#This Row],[college]]&amp;Table2[[#This Row],[division]]&amp;Table2[[#This Row],[year]],
Teams[college]&amp;Teams[division]&amp;Teams[year],
Teams[finish], "NA")</f>
        <v>0.65</v>
      </c>
    </row>
    <row r="728" spans="1:6" x14ac:dyDescent="0.3">
      <c r="A728" t="s">
        <v>953</v>
      </c>
      <c r="B728" t="s">
        <v>241</v>
      </c>
      <c r="C728">
        <v>7</v>
      </c>
      <c r="D728">
        <v>2026</v>
      </c>
      <c r="E728" cm="1">
        <f t="array" ref="E728">_xlfn.XLOOKUP(Table2[[#This Row],[college]]&amp;Table2[[#This Row],[division]]&amp;Table2[[#This Row],[year]],
Teams[college]&amp;Teams[division]&amp;Teams[year],
Teams[placing], "NA")</f>
        <v>0</v>
      </c>
      <c r="F728" s="1" cm="1">
        <f t="array" ref="F728">_xlfn.XLOOKUP(Table2[[#This Row],[college]]&amp;Table2[[#This Row],[division]]&amp;Table2[[#This Row],[year]],
Teams[college]&amp;Teams[division]&amp;Teams[year],
Teams[finish], "NA")</f>
        <v>0</v>
      </c>
    </row>
    <row r="729" spans="1:6" x14ac:dyDescent="0.3">
      <c r="A729" t="s">
        <v>222</v>
      </c>
      <c r="B729" t="s">
        <v>5</v>
      </c>
      <c r="C729">
        <v>3</v>
      </c>
      <c r="D729">
        <v>2025</v>
      </c>
      <c r="E729" cm="1">
        <f t="array" ref="E729">_xlfn.XLOOKUP(Table2[[#This Row],[college]]&amp;Table2[[#This Row],[division]]&amp;Table2[[#This Row],[year]],
Teams[college]&amp;Teams[division]&amp;Teams[year],
Teams[placing], "NA")</f>
        <v>3</v>
      </c>
      <c r="F729" s="1" cm="1">
        <f t="array" ref="F729">_xlfn.XLOOKUP(Table2[[#This Row],[college]]&amp;Table2[[#This Row],[division]]&amp;Table2[[#This Row],[year]],
Teams[college]&amp;Teams[division]&amp;Teams[year],
Teams[finish], "NA")</f>
        <v>0.52708333333333335</v>
      </c>
    </row>
    <row r="730" spans="1:6" x14ac:dyDescent="0.3">
      <c r="A730" t="s">
        <v>222</v>
      </c>
      <c r="B730" t="s">
        <v>5</v>
      </c>
      <c r="C730">
        <v>5</v>
      </c>
      <c r="D730">
        <v>2026</v>
      </c>
      <c r="E730" cm="1">
        <f t="array" ref="E730">_xlfn.XLOOKUP(Table2[[#This Row],[college]]&amp;Table2[[#This Row],[division]]&amp;Table2[[#This Row],[year]],
Teams[college]&amp;Teams[division]&amp;Teams[year],
Teams[placing], "NA")</f>
        <v>0</v>
      </c>
      <c r="F730" s="1" cm="1">
        <f t="array" ref="F730">_xlfn.XLOOKUP(Table2[[#This Row],[college]]&amp;Table2[[#This Row],[division]]&amp;Table2[[#This Row],[year]],
Teams[college]&amp;Teams[division]&amp;Teams[year],
Teams[finish], "NA")</f>
        <v>0</v>
      </c>
    </row>
    <row r="731" spans="1:6" x14ac:dyDescent="0.3">
      <c r="A731" t="s">
        <v>29</v>
      </c>
      <c r="B731" t="s">
        <v>19</v>
      </c>
      <c r="C731">
        <v>6</v>
      </c>
      <c r="D731">
        <v>2025</v>
      </c>
      <c r="E731" cm="1">
        <f t="array" ref="E731">_xlfn.XLOOKUP(Table2[[#This Row],[college]]&amp;Table2[[#This Row],[division]]&amp;Table2[[#This Row],[year]],
Teams[college]&amp;Teams[division]&amp;Teams[year],
Teams[placing], "NA")</f>
        <v>4</v>
      </c>
      <c r="F731" s="1" cm="1">
        <f t="array" ref="F731">_xlfn.XLOOKUP(Table2[[#This Row],[college]]&amp;Table2[[#This Row],[division]]&amp;Table2[[#This Row],[year]],
Teams[college]&amp;Teams[division]&amp;Teams[year],
Teams[finish], "NA")</f>
        <v>0.54861111111111116</v>
      </c>
    </row>
    <row r="732" spans="1:6" x14ac:dyDescent="0.3">
      <c r="A732" t="s">
        <v>989</v>
      </c>
      <c r="B732" t="s">
        <v>5</v>
      </c>
      <c r="C732">
        <v>3</v>
      </c>
      <c r="D732">
        <v>2026</v>
      </c>
      <c r="E732" cm="1">
        <f t="array" ref="E732">_xlfn.XLOOKUP(Table2[[#This Row],[college]]&amp;Table2[[#This Row],[division]]&amp;Table2[[#This Row],[year]],
Teams[college]&amp;Teams[division]&amp;Teams[year],
Teams[placing], "NA")</f>
        <v>0</v>
      </c>
      <c r="F732" s="1" cm="1">
        <f t="array" ref="F732">_xlfn.XLOOKUP(Table2[[#This Row],[college]]&amp;Table2[[#This Row],[division]]&amp;Table2[[#This Row],[year]],
Teams[college]&amp;Teams[division]&amp;Teams[year],
Teams[finish], "NA")</f>
        <v>0</v>
      </c>
    </row>
    <row r="733" spans="1:6" x14ac:dyDescent="0.3">
      <c r="A733" t="s">
        <v>161</v>
      </c>
      <c r="B733" t="s">
        <v>137</v>
      </c>
      <c r="C733">
        <v>3</v>
      </c>
      <c r="D733">
        <v>2025</v>
      </c>
      <c r="E733" cm="1">
        <f t="array" ref="E733">_xlfn.XLOOKUP(Table2[[#This Row],[college]]&amp;Table2[[#This Row],[division]]&amp;Table2[[#This Row],[year]],
Teams[college]&amp;Teams[division]&amp;Teams[year],
Teams[placing], "NA")</f>
        <v>1</v>
      </c>
      <c r="F733" s="1" cm="1">
        <f t="array" ref="F733">_xlfn.XLOOKUP(Table2[[#This Row],[college]]&amp;Table2[[#This Row],[division]]&amp;Table2[[#This Row],[year]],
Teams[college]&amp;Teams[division]&amp;Teams[year],
Teams[finish], "NA")</f>
        <v>0.50277777777777777</v>
      </c>
    </row>
    <row r="734" spans="1:6" x14ac:dyDescent="0.3">
      <c r="A734" t="s">
        <v>161</v>
      </c>
      <c r="B734" t="s">
        <v>787</v>
      </c>
      <c r="C734">
        <v>1</v>
      </c>
      <c r="D734">
        <v>2026</v>
      </c>
      <c r="E734" t="str" cm="1">
        <f t="array" ref="E734">_xlfn.XLOOKUP(Table2[[#This Row],[college]]&amp;Table2[[#This Row],[division]]&amp;Table2[[#This Row],[year]],
Teams[college]&amp;Teams[division]&amp;Teams[year],
Teams[placing], "NA")</f>
        <v>NA</v>
      </c>
      <c r="F734" s="1" t="str" cm="1">
        <f t="array" ref="F734">_xlfn.XLOOKUP(Table2[[#This Row],[college]]&amp;Table2[[#This Row],[division]]&amp;Table2[[#This Row],[year]],
Teams[college]&amp;Teams[division]&amp;Teams[year],
Teams[finish], "NA")</f>
        <v>NA</v>
      </c>
    </row>
    <row r="735" spans="1:6" x14ac:dyDescent="0.3">
      <c r="A735" t="s">
        <v>820</v>
      </c>
      <c r="B735" t="s">
        <v>132</v>
      </c>
      <c r="C735">
        <v>2</v>
      </c>
      <c r="D735">
        <v>2026</v>
      </c>
      <c r="E735" cm="1">
        <f t="array" ref="E735">_xlfn.XLOOKUP(Table2[[#This Row],[college]]&amp;Table2[[#This Row],[division]]&amp;Table2[[#This Row],[year]],
Teams[college]&amp;Teams[division]&amp;Teams[year],
Teams[placing], "NA")</f>
        <v>0</v>
      </c>
      <c r="F735" s="1" cm="1">
        <f t="array" ref="F735">_xlfn.XLOOKUP(Table2[[#This Row],[college]]&amp;Table2[[#This Row],[division]]&amp;Table2[[#This Row],[year]],
Teams[college]&amp;Teams[division]&amp;Teams[year],
Teams[finish], "NA")</f>
        <v>0</v>
      </c>
    </row>
    <row r="736" spans="1:6" x14ac:dyDescent="0.3">
      <c r="A736" t="s">
        <v>461</v>
      </c>
      <c r="B736" t="s">
        <v>250</v>
      </c>
      <c r="C736">
        <v>5</v>
      </c>
      <c r="D736">
        <v>2023</v>
      </c>
      <c r="E736" cm="1">
        <f t="array" ref="E736">_xlfn.XLOOKUP(Table2[[#This Row],[college]]&amp;Table2[[#This Row],[division]]&amp;Table2[[#This Row],[year]],
Teams[college]&amp;Teams[division]&amp;Teams[year],
Teams[placing], "NA")</f>
        <v>5</v>
      </c>
      <c r="F736" s="1" cm="1">
        <f t="array" ref="F736">_xlfn.XLOOKUP(Table2[[#This Row],[college]]&amp;Table2[[#This Row],[division]]&amp;Table2[[#This Row],[year]],
Teams[college]&amp;Teams[division]&amp;Teams[year],
Teams[finish], "NA")</f>
        <v>0.65277777777777779</v>
      </c>
    </row>
    <row r="737" spans="1:6" x14ac:dyDescent="0.3">
      <c r="A737" t="s">
        <v>461</v>
      </c>
      <c r="B737" t="s">
        <v>250</v>
      </c>
      <c r="C737">
        <v>7</v>
      </c>
      <c r="D737">
        <v>2024</v>
      </c>
      <c r="E737" t="str" cm="1">
        <f t="array" ref="E737">_xlfn.XLOOKUP(Table2[[#This Row],[college]]&amp;Table2[[#This Row],[division]]&amp;Table2[[#This Row],[year]],
Teams[college]&amp;Teams[division]&amp;Teams[year],
Teams[placing], "NA")</f>
        <v>DNF</v>
      </c>
      <c r="F737" s="1" t="str" cm="1">
        <f t="array" ref="F737">_xlfn.XLOOKUP(Table2[[#This Row],[college]]&amp;Table2[[#This Row],[division]]&amp;Table2[[#This Row],[year]],
Teams[college]&amp;Teams[division]&amp;Teams[year],
Teams[finish], "NA")</f>
        <v>NA</v>
      </c>
    </row>
    <row r="738" spans="1:6" x14ac:dyDescent="0.3">
      <c r="A738" t="s">
        <v>814</v>
      </c>
      <c r="B738" t="s">
        <v>15</v>
      </c>
      <c r="C738">
        <v>2</v>
      </c>
      <c r="D738">
        <v>2026</v>
      </c>
      <c r="E738" cm="1">
        <f t="array" ref="E738">_xlfn.XLOOKUP(Table2[[#This Row],[college]]&amp;Table2[[#This Row],[division]]&amp;Table2[[#This Row],[year]],
Teams[college]&amp;Teams[division]&amp;Teams[year],
Teams[placing], "NA")</f>
        <v>0</v>
      </c>
      <c r="F738" s="1" cm="1">
        <f t="array" ref="F738">_xlfn.XLOOKUP(Table2[[#This Row],[college]]&amp;Table2[[#This Row],[division]]&amp;Table2[[#This Row],[year]],
Teams[college]&amp;Teams[division]&amp;Teams[year],
Teams[finish], "NA")</f>
        <v>0</v>
      </c>
    </row>
    <row r="739" spans="1:6" x14ac:dyDescent="0.3">
      <c r="A739" t="s">
        <v>204</v>
      </c>
      <c r="B739" t="s">
        <v>123</v>
      </c>
      <c r="C739">
        <v>1</v>
      </c>
      <c r="D739">
        <v>2022</v>
      </c>
      <c r="E739" cm="1">
        <f t="array" ref="E739">_xlfn.XLOOKUP(Table2[[#This Row],[college]]&amp;Table2[[#This Row],[division]]&amp;Table2[[#This Row],[year]],
Teams[college]&amp;Teams[division]&amp;Teams[year],
Teams[placing], "NA")</f>
        <v>3</v>
      </c>
      <c r="F739" s="1" cm="1">
        <f t="array" ref="F739">_xlfn.XLOOKUP(Table2[[#This Row],[college]]&amp;Table2[[#This Row],[division]]&amp;Table2[[#This Row],[year]],
Teams[college]&amp;Teams[division]&amp;Teams[year],
Teams[finish], "NA")</f>
        <v>0.55069444444444449</v>
      </c>
    </row>
    <row r="740" spans="1:6" x14ac:dyDescent="0.3">
      <c r="A740" t="s">
        <v>204</v>
      </c>
      <c r="B740" t="s">
        <v>123</v>
      </c>
      <c r="C740">
        <v>1</v>
      </c>
      <c r="D740">
        <v>2023</v>
      </c>
      <c r="E740" cm="1">
        <f t="array" ref="E740">_xlfn.XLOOKUP(Table2[[#This Row],[college]]&amp;Table2[[#This Row],[division]]&amp;Table2[[#This Row],[year]],
Teams[college]&amp;Teams[division]&amp;Teams[year],
Teams[placing], "NA")</f>
        <v>3</v>
      </c>
      <c r="F740" s="1" cm="1">
        <f t="array" ref="F740">_xlfn.XLOOKUP(Table2[[#This Row],[college]]&amp;Table2[[#This Row],[division]]&amp;Table2[[#This Row],[year]],
Teams[college]&amp;Teams[division]&amp;Teams[year],
Teams[finish], "NA")</f>
        <v>0.67708333333333337</v>
      </c>
    </row>
    <row r="741" spans="1:6" x14ac:dyDescent="0.3">
      <c r="A741" t="s">
        <v>204</v>
      </c>
      <c r="B741" t="s">
        <v>5</v>
      </c>
      <c r="C741">
        <v>1</v>
      </c>
      <c r="D741">
        <v>2025</v>
      </c>
      <c r="E741" cm="1">
        <f t="array" ref="E741">_xlfn.XLOOKUP(Table2[[#This Row],[college]]&amp;Table2[[#This Row],[division]]&amp;Table2[[#This Row],[year]],
Teams[college]&amp;Teams[division]&amp;Teams[year],
Teams[placing], "NA")</f>
        <v>1</v>
      </c>
      <c r="F741" s="1" cm="1">
        <f t="array" ref="F741">_xlfn.XLOOKUP(Table2[[#This Row],[college]]&amp;Table2[[#This Row],[division]]&amp;Table2[[#This Row],[year]],
Teams[college]&amp;Teams[division]&amp;Teams[year],
Teams[finish], "NA")</f>
        <v>0.38472222222222224</v>
      </c>
    </row>
    <row r="742" spans="1:6" x14ac:dyDescent="0.3">
      <c r="A742" t="s">
        <v>204</v>
      </c>
      <c r="B742" t="s">
        <v>5</v>
      </c>
      <c r="C742">
        <v>1</v>
      </c>
      <c r="D742">
        <v>2024</v>
      </c>
      <c r="E742" cm="1">
        <f t="array" ref="E742">_xlfn.XLOOKUP(Table2[[#This Row],[college]]&amp;Table2[[#This Row],[division]]&amp;Table2[[#This Row],[year]],
Teams[college]&amp;Teams[division]&amp;Teams[year],
Teams[placing], "NA")</f>
        <v>1</v>
      </c>
      <c r="F742" s="1" cm="1">
        <f t="array" ref="F742">_xlfn.XLOOKUP(Table2[[#This Row],[college]]&amp;Table2[[#This Row],[division]]&amp;Table2[[#This Row],[year]],
Teams[college]&amp;Teams[division]&amp;Teams[year],
Teams[finish], "NA")</f>
        <v>0.49652777777777779</v>
      </c>
    </row>
    <row r="743" spans="1:6" x14ac:dyDescent="0.3">
      <c r="A743" t="s">
        <v>35</v>
      </c>
      <c r="B743" t="s">
        <v>48</v>
      </c>
      <c r="C743">
        <v>5</v>
      </c>
      <c r="D743">
        <v>2023</v>
      </c>
      <c r="E743" cm="1">
        <f t="array" ref="E743">_xlfn.XLOOKUP(Table2[[#This Row],[college]]&amp;Table2[[#This Row],[division]]&amp;Table2[[#This Row],[year]],
Teams[college]&amp;Teams[division]&amp;Teams[year],
Teams[placing], "NA")</f>
        <v>8</v>
      </c>
      <c r="F743" s="1" cm="1">
        <f t="array" ref="F743">_xlfn.XLOOKUP(Table2[[#This Row],[college]]&amp;Table2[[#This Row],[division]]&amp;Table2[[#This Row],[year]],
Teams[college]&amp;Teams[division]&amp;Teams[year],
Teams[finish], "NA")</f>
        <v>0.68055555555555558</v>
      </c>
    </row>
    <row r="744" spans="1:6" x14ac:dyDescent="0.3">
      <c r="A744" t="s">
        <v>35</v>
      </c>
      <c r="B744" t="s">
        <v>5</v>
      </c>
      <c r="C744">
        <v>5</v>
      </c>
      <c r="D744">
        <v>2025</v>
      </c>
      <c r="E744" cm="1">
        <f t="array" ref="E744">_xlfn.XLOOKUP(Table2[[#This Row],[college]]&amp;Table2[[#This Row],[division]]&amp;Table2[[#This Row],[year]],
Teams[college]&amp;Teams[division]&amp;Teams[year],
Teams[placing], "NA")</f>
        <v>4</v>
      </c>
      <c r="F744" s="1" cm="1">
        <f t="array" ref="F744">_xlfn.XLOOKUP(Table2[[#This Row],[college]]&amp;Table2[[#This Row],[division]]&amp;Table2[[#This Row],[year]],
Teams[college]&amp;Teams[division]&amp;Teams[year],
Teams[finish], "NA")</f>
        <v>0.47083333333333333</v>
      </c>
    </row>
    <row r="745" spans="1:6" x14ac:dyDescent="0.3">
      <c r="A745" t="s">
        <v>228</v>
      </c>
      <c r="B745" t="s">
        <v>10</v>
      </c>
      <c r="C745">
        <v>5</v>
      </c>
      <c r="D745">
        <v>2025</v>
      </c>
      <c r="E745" cm="1">
        <f t="array" ref="E745">_xlfn.XLOOKUP(Table2[[#This Row],[college]]&amp;Table2[[#This Row],[division]]&amp;Table2[[#This Row],[year]],
Teams[college]&amp;Teams[division]&amp;Teams[year],
Teams[placing], "NA")</f>
        <v>1</v>
      </c>
      <c r="F745" s="1" cm="1">
        <f t="array" ref="F745">_xlfn.XLOOKUP(Table2[[#This Row],[college]]&amp;Table2[[#This Row],[division]]&amp;Table2[[#This Row],[year]],
Teams[college]&amp;Teams[division]&amp;Teams[year],
Teams[finish], "NA")</f>
        <v>0.42222222222222222</v>
      </c>
    </row>
    <row r="746" spans="1:6" x14ac:dyDescent="0.3">
      <c r="A746" t="s">
        <v>696</v>
      </c>
      <c r="B746" t="s">
        <v>5</v>
      </c>
      <c r="C746">
        <v>4</v>
      </c>
      <c r="D746">
        <v>2022</v>
      </c>
      <c r="E746" cm="1">
        <f t="array" ref="E746">_xlfn.XLOOKUP(Table2[[#This Row],[college]]&amp;Table2[[#This Row],[division]]&amp;Table2[[#This Row],[year]],
Teams[college]&amp;Teams[division]&amp;Teams[year],
Teams[placing], "NA")</f>
        <v>4</v>
      </c>
      <c r="F746" s="1" cm="1">
        <f t="array" ref="F746">_xlfn.XLOOKUP(Table2[[#This Row],[college]]&amp;Table2[[#This Row],[division]]&amp;Table2[[#This Row],[year]],
Teams[college]&amp;Teams[division]&amp;Teams[year],
Teams[finish], "NA")</f>
        <v>0.55694444444444446</v>
      </c>
    </row>
    <row r="747" spans="1:6" x14ac:dyDescent="0.3">
      <c r="A747" t="s">
        <v>1005</v>
      </c>
      <c r="B747" t="s">
        <v>19</v>
      </c>
      <c r="C747">
        <v>7</v>
      </c>
      <c r="D747">
        <v>2022</v>
      </c>
      <c r="E747" cm="1">
        <f t="array" ref="E747">_xlfn.XLOOKUP(Table2[[#This Row],[college]]&amp;Table2[[#This Row],[division]]&amp;Table2[[#This Row],[year]],
Teams[college]&amp;Teams[division]&amp;Teams[year],
Teams[placing], "NA")</f>
        <v>4</v>
      </c>
      <c r="F747" s="1" cm="1">
        <f t="array" ref="F747">_xlfn.XLOOKUP(Table2[[#This Row],[college]]&amp;Table2[[#This Row],[division]]&amp;Table2[[#This Row],[year]],
Teams[college]&amp;Teams[division]&amp;Teams[year],
Teams[finish], "NA")</f>
        <v>0.45972222222222225</v>
      </c>
    </row>
    <row r="748" spans="1:6" x14ac:dyDescent="0.3">
      <c r="A748" t="s">
        <v>1005</v>
      </c>
      <c r="B748" t="s">
        <v>758</v>
      </c>
      <c r="C748">
        <v>5</v>
      </c>
      <c r="D748">
        <v>2025</v>
      </c>
      <c r="E748" t="str" cm="1">
        <f t="array" ref="E748">_xlfn.XLOOKUP(Table2[[#This Row],[college]]&amp;Table2[[#This Row],[division]]&amp;Table2[[#This Row],[year]],
Teams[college]&amp;Teams[division]&amp;Teams[year],
Teams[placing], "NA")</f>
        <v>NA</v>
      </c>
      <c r="F748" s="1" cm="1">
        <f t="array" ref="F748">_xlfn.XLOOKUP(Table2[[#This Row],[college]]&amp;Table2[[#This Row],[division]]&amp;Table2[[#This Row],[year]],
Teams[college]&amp;Teams[division]&amp;Teams[year],
Teams[finish], "NA")</f>
        <v>0.63611111111111107</v>
      </c>
    </row>
    <row r="749" spans="1:6" x14ac:dyDescent="0.3">
      <c r="A749" t="s">
        <v>1005</v>
      </c>
      <c r="B749" t="s">
        <v>19</v>
      </c>
      <c r="C749">
        <v>6</v>
      </c>
      <c r="D749">
        <v>2023</v>
      </c>
      <c r="E749" cm="1">
        <f t="array" ref="E749">_xlfn.XLOOKUP(Table2[[#This Row],[college]]&amp;Table2[[#This Row],[division]]&amp;Table2[[#This Row],[year]],
Teams[college]&amp;Teams[division]&amp;Teams[year],
Teams[placing], "NA")</f>
        <v>7</v>
      </c>
      <c r="F749" s="1" cm="1">
        <f t="array" ref="F749">_xlfn.XLOOKUP(Table2[[#This Row],[college]]&amp;Table2[[#This Row],[division]]&amp;Table2[[#This Row],[year]],
Teams[college]&amp;Teams[division]&amp;Teams[year],
Teams[finish], "NA")</f>
        <v>0.67152777777777772</v>
      </c>
    </row>
    <row r="750" spans="1:6" x14ac:dyDescent="0.3">
      <c r="A750" t="s">
        <v>1005</v>
      </c>
      <c r="B750" t="s">
        <v>755</v>
      </c>
      <c r="C750">
        <v>2</v>
      </c>
      <c r="D750">
        <v>2024</v>
      </c>
      <c r="E750" t="str" cm="1">
        <f t="array" ref="E750">_xlfn.XLOOKUP(Table2[[#This Row],[college]]&amp;Table2[[#This Row],[division]]&amp;Table2[[#This Row],[year]],
Teams[college]&amp;Teams[division]&amp;Teams[year],
Teams[placing], "NA")</f>
        <v>DNF</v>
      </c>
      <c r="F750" s="1" t="str" cm="1">
        <f t="array" ref="F750">_xlfn.XLOOKUP(Table2[[#This Row],[college]]&amp;Table2[[#This Row],[division]]&amp;Table2[[#This Row],[year]],
Teams[college]&amp;Teams[division]&amp;Teams[year],
Teams[finish], "NA")</f>
        <v>NA</v>
      </c>
    </row>
    <row r="751" spans="1:6" x14ac:dyDescent="0.3">
      <c r="A751" t="s">
        <v>376</v>
      </c>
      <c r="B751" t="s">
        <v>137</v>
      </c>
      <c r="C751">
        <v>4</v>
      </c>
      <c r="D751">
        <v>2024</v>
      </c>
      <c r="E751" cm="1">
        <f t="array" ref="E751">_xlfn.XLOOKUP(Table2[[#This Row],[college]]&amp;Table2[[#This Row],[division]]&amp;Table2[[#This Row],[year]],
Teams[college]&amp;Teams[division]&amp;Teams[year],
Teams[placing], "NA")</f>
        <v>3</v>
      </c>
      <c r="F751" s="1" cm="1">
        <f t="array" ref="F751">_xlfn.XLOOKUP(Table2[[#This Row],[college]]&amp;Table2[[#This Row],[division]]&amp;Table2[[#This Row],[year]],
Teams[college]&amp;Teams[division]&amp;Teams[year],
Teams[finish], "NA")</f>
        <v>0.64722222222222225</v>
      </c>
    </row>
    <row r="752" spans="1:6" x14ac:dyDescent="0.3">
      <c r="A752" t="s">
        <v>935</v>
      </c>
      <c r="B752" t="s">
        <v>241</v>
      </c>
      <c r="C752">
        <v>6</v>
      </c>
      <c r="D752">
        <v>2026</v>
      </c>
      <c r="E752" cm="1">
        <f t="array" ref="E752">_xlfn.XLOOKUP(Table2[[#This Row],[college]]&amp;Table2[[#This Row],[division]]&amp;Table2[[#This Row],[year]],
Teams[college]&amp;Teams[division]&amp;Teams[year],
Teams[placing], "NA")</f>
        <v>0</v>
      </c>
      <c r="F752" s="1" cm="1">
        <f t="array" ref="F752">_xlfn.XLOOKUP(Table2[[#This Row],[college]]&amp;Table2[[#This Row],[division]]&amp;Table2[[#This Row],[year]],
Teams[college]&amp;Teams[division]&amp;Teams[year],
Teams[finish], "NA")</f>
        <v>0</v>
      </c>
    </row>
    <row r="753" spans="1:6" x14ac:dyDescent="0.3">
      <c r="A753" t="s">
        <v>330</v>
      </c>
      <c r="B753" t="s">
        <v>755</v>
      </c>
      <c r="C753">
        <v>2</v>
      </c>
      <c r="D753">
        <v>2025</v>
      </c>
      <c r="E753" t="str" cm="1">
        <f t="array" ref="E753">_xlfn.XLOOKUP(Table2[[#This Row],[college]]&amp;Table2[[#This Row],[division]]&amp;Table2[[#This Row],[year]],
Teams[college]&amp;Teams[division]&amp;Teams[year],
Teams[placing], "NA")</f>
        <v>NA</v>
      </c>
      <c r="F753" s="1" cm="1">
        <f t="array" ref="F753">_xlfn.XLOOKUP(Table2[[#This Row],[college]]&amp;Table2[[#This Row],[division]]&amp;Table2[[#This Row],[year]],
Teams[college]&amp;Teams[division]&amp;Teams[year],
Teams[finish], "NA")</f>
        <v>0.57499999999999996</v>
      </c>
    </row>
    <row r="754" spans="1:6" x14ac:dyDescent="0.3">
      <c r="A754" t="s">
        <v>508</v>
      </c>
      <c r="B754" t="s">
        <v>15</v>
      </c>
      <c r="C754">
        <v>4</v>
      </c>
      <c r="D754">
        <v>2023</v>
      </c>
      <c r="E754" cm="1">
        <f t="array" ref="E754">_xlfn.XLOOKUP(Table2[[#This Row],[college]]&amp;Table2[[#This Row],[division]]&amp;Table2[[#This Row],[year]],
Teams[college]&amp;Teams[division]&amp;Teams[year],
Teams[placing], "NA")</f>
        <v>5</v>
      </c>
      <c r="F754" s="1" cm="1">
        <f t="array" ref="F754">_xlfn.XLOOKUP(Table2[[#This Row],[college]]&amp;Table2[[#This Row],[division]]&amp;Table2[[#This Row],[year]],
Teams[college]&amp;Teams[division]&amp;Teams[year],
Teams[finish], "NA")</f>
        <v>0.63680555555555551</v>
      </c>
    </row>
    <row r="755" spans="1:6" x14ac:dyDescent="0.3">
      <c r="A755" t="s">
        <v>956</v>
      </c>
      <c r="B755" t="s">
        <v>132</v>
      </c>
      <c r="C755">
        <v>7</v>
      </c>
      <c r="D755">
        <v>2026</v>
      </c>
      <c r="E755" cm="1">
        <f t="array" ref="E755">_xlfn.XLOOKUP(Table2[[#This Row],[college]]&amp;Table2[[#This Row],[division]]&amp;Table2[[#This Row],[year]],
Teams[college]&amp;Teams[division]&amp;Teams[year],
Teams[placing], "NA")</f>
        <v>0</v>
      </c>
      <c r="F755" s="1" cm="1">
        <f t="array" ref="F755">_xlfn.XLOOKUP(Table2[[#This Row],[college]]&amp;Table2[[#This Row],[division]]&amp;Table2[[#This Row],[year]],
Teams[college]&amp;Teams[division]&amp;Teams[year],
Teams[finish], "NA")</f>
        <v>0</v>
      </c>
    </row>
    <row r="756" spans="1:6" x14ac:dyDescent="0.3">
      <c r="A756" t="s">
        <v>593</v>
      </c>
      <c r="B756" t="s">
        <v>137</v>
      </c>
      <c r="C756">
        <v>6</v>
      </c>
      <c r="D756">
        <v>2023</v>
      </c>
      <c r="E756" cm="1">
        <f t="array" ref="E756">_xlfn.XLOOKUP(Table2[[#This Row],[college]]&amp;Table2[[#This Row],[division]]&amp;Table2[[#This Row],[year]],
Teams[college]&amp;Teams[division]&amp;Teams[year],
Teams[placing], "NA")</f>
        <v>9</v>
      </c>
      <c r="F756" s="1" cm="1">
        <f t="array" ref="F756">_xlfn.XLOOKUP(Table2[[#This Row],[college]]&amp;Table2[[#This Row],[division]]&amp;Table2[[#This Row],[year]],
Teams[college]&amp;Teams[division]&amp;Teams[year],
Teams[finish], "NA")</f>
        <v>0.68194444444444446</v>
      </c>
    </row>
    <row r="757" spans="1:6" x14ac:dyDescent="0.3">
      <c r="A757" t="s">
        <v>943</v>
      </c>
      <c r="B757" t="s">
        <v>266</v>
      </c>
      <c r="C757">
        <v>6</v>
      </c>
      <c r="D757">
        <v>2026</v>
      </c>
      <c r="E757" cm="1">
        <f t="array" ref="E757">_xlfn.XLOOKUP(Table2[[#This Row],[college]]&amp;Table2[[#This Row],[division]]&amp;Table2[[#This Row],[year]],
Teams[college]&amp;Teams[division]&amp;Teams[year],
Teams[placing], "NA")</f>
        <v>0</v>
      </c>
      <c r="F757" s="1" cm="1">
        <f t="array" ref="F757">_xlfn.XLOOKUP(Table2[[#This Row],[college]]&amp;Table2[[#This Row],[division]]&amp;Table2[[#This Row],[year]],
Teams[college]&amp;Teams[division]&amp;Teams[year],
Teams[finish], "NA")</f>
        <v>0</v>
      </c>
    </row>
    <row r="758" spans="1:6" x14ac:dyDescent="0.3">
      <c r="A758" t="s">
        <v>172</v>
      </c>
      <c r="B758" t="s">
        <v>15</v>
      </c>
      <c r="C758">
        <v>1</v>
      </c>
      <c r="D758">
        <v>2025</v>
      </c>
      <c r="E758" cm="1">
        <f t="array" ref="E758">_xlfn.XLOOKUP(Table2[[#This Row],[college]]&amp;Table2[[#This Row],[division]]&amp;Table2[[#This Row],[year]],
Teams[college]&amp;Teams[division]&amp;Teams[year],
Teams[placing], "NA")</f>
        <v>2</v>
      </c>
      <c r="F758" s="1" cm="1">
        <f t="array" ref="F758">_xlfn.XLOOKUP(Table2[[#This Row],[college]]&amp;Table2[[#This Row],[division]]&amp;Table2[[#This Row],[year]],
Teams[college]&amp;Teams[division]&amp;Teams[year],
Teams[finish], "NA")</f>
        <v>0.53333333333333333</v>
      </c>
    </row>
    <row r="759" spans="1:6" x14ac:dyDescent="0.3">
      <c r="A759" t="s">
        <v>172</v>
      </c>
      <c r="B759" t="s">
        <v>15</v>
      </c>
      <c r="C759">
        <v>1</v>
      </c>
      <c r="D759">
        <v>2026</v>
      </c>
      <c r="E759" cm="1">
        <f t="array" ref="E759">_xlfn.XLOOKUP(Table2[[#This Row],[college]]&amp;Table2[[#This Row],[division]]&amp;Table2[[#This Row],[year]],
Teams[college]&amp;Teams[division]&amp;Teams[year],
Teams[placing], "NA")</f>
        <v>0</v>
      </c>
      <c r="F759" s="1" cm="1">
        <f t="array" ref="F759">_xlfn.XLOOKUP(Table2[[#This Row],[college]]&amp;Table2[[#This Row],[division]]&amp;Table2[[#This Row],[year]],
Teams[college]&amp;Teams[division]&amp;Teams[year],
Teams[finish], "NA")</f>
        <v>0</v>
      </c>
    </row>
    <row r="760" spans="1:6" x14ac:dyDescent="0.3">
      <c r="A760" t="s">
        <v>650</v>
      </c>
      <c r="B760" t="s">
        <v>5</v>
      </c>
      <c r="C760">
        <v>3</v>
      </c>
      <c r="D760">
        <v>2022</v>
      </c>
      <c r="E760" cm="1">
        <f t="array" ref="E760">_xlfn.XLOOKUP(Table2[[#This Row],[college]]&amp;Table2[[#This Row],[division]]&amp;Table2[[#This Row],[year]],
Teams[college]&amp;Teams[division]&amp;Teams[year],
Teams[placing], "NA")</f>
        <v>1</v>
      </c>
      <c r="F760" s="1" cm="1">
        <f t="array" ref="F760">_xlfn.XLOOKUP(Table2[[#This Row],[college]]&amp;Table2[[#This Row],[division]]&amp;Table2[[#This Row],[year]],
Teams[college]&amp;Teams[division]&amp;Teams[year],
Teams[finish], "NA")</f>
        <v>0.39791666666666664</v>
      </c>
    </row>
    <row r="761" spans="1:6" x14ac:dyDescent="0.3">
      <c r="A761" t="s">
        <v>650</v>
      </c>
      <c r="B761" t="s">
        <v>5</v>
      </c>
      <c r="C761">
        <v>2</v>
      </c>
      <c r="D761">
        <v>2023</v>
      </c>
      <c r="E761" t="str" cm="1">
        <f t="array" ref="E761">_xlfn.XLOOKUP(Table2[[#This Row],[college]]&amp;Table2[[#This Row],[division]]&amp;Table2[[#This Row],[year]],
Teams[college]&amp;Teams[division]&amp;Teams[year],
Teams[placing], "NA")</f>
        <v>DNF</v>
      </c>
      <c r="F761" s="1" t="str" cm="1">
        <f t="array" ref="F761">_xlfn.XLOOKUP(Table2[[#This Row],[college]]&amp;Table2[[#This Row],[division]]&amp;Table2[[#This Row],[year]],
Teams[college]&amp;Teams[division]&amp;Teams[year],
Teams[finish], "NA")</f>
        <v>NA</v>
      </c>
    </row>
    <row r="762" spans="1:6" x14ac:dyDescent="0.3">
      <c r="A762" t="s">
        <v>650</v>
      </c>
      <c r="B762" t="s">
        <v>5</v>
      </c>
      <c r="C762">
        <v>3</v>
      </c>
      <c r="D762">
        <v>2026</v>
      </c>
      <c r="E762" cm="1">
        <f t="array" ref="E762">_xlfn.XLOOKUP(Table2[[#This Row],[college]]&amp;Table2[[#This Row],[division]]&amp;Table2[[#This Row],[year]],
Teams[college]&amp;Teams[division]&amp;Teams[year],
Teams[placing], "NA")</f>
        <v>0</v>
      </c>
      <c r="F762" s="1" cm="1">
        <f t="array" ref="F762">_xlfn.XLOOKUP(Table2[[#This Row],[college]]&amp;Table2[[#This Row],[division]]&amp;Table2[[#This Row],[year]],
Teams[college]&amp;Teams[division]&amp;Teams[year],
Teams[finish], "NA")</f>
        <v>0</v>
      </c>
    </row>
    <row r="763" spans="1:6" x14ac:dyDescent="0.3">
      <c r="A763" t="s">
        <v>716</v>
      </c>
      <c r="B763" t="s">
        <v>123</v>
      </c>
      <c r="C763">
        <v>2</v>
      </c>
      <c r="D763">
        <v>2022</v>
      </c>
      <c r="E763" cm="1">
        <f t="array" ref="E763">_xlfn.XLOOKUP(Table2[[#This Row],[college]]&amp;Table2[[#This Row],[division]]&amp;Table2[[#This Row],[year]],
Teams[college]&amp;Teams[division]&amp;Teams[year],
Teams[placing], "NA")</f>
        <v>1</v>
      </c>
      <c r="F763" s="1" cm="1">
        <f t="array" ref="F763">_xlfn.XLOOKUP(Table2[[#This Row],[college]]&amp;Table2[[#This Row],[division]]&amp;Table2[[#This Row],[year]],
Teams[college]&amp;Teams[division]&amp;Teams[year],
Teams[finish], "NA")</f>
        <v>0.48888888888888887</v>
      </c>
    </row>
    <row r="764" spans="1:6" x14ac:dyDescent="0.3">
      <c r="A764" t="s">
        <v>176</v>
      </c>
      <c r="B764" t="s">
        <v>132</v>
      </c>
      <c r="C764">
        <v>5</v>
      </c>
      <c r="D764">
        <v>2025</v>
      </c>
      <c r="E764" cm="1">
        <f t="array" ref="E764">_xlfn.XLOOKUP(Table2[[#This Row],[college]]&amp;Table2[[#This Row],[division]]&amp;Table2[[#This Row],[year]],
Teams[college]&amp;Teams[division]&amp;Teams[year],
Teams[placing], "NA")</f>
        <v>7</v>
      </c>
      <c r="F764" s="1" cm="1">
        <f t="array" ref="F764">_xlfn.XLOOKUP(Table2[[#This Row],[college]]&amp;Table2[[#This Row],[division]]&amp;Table2[[#This Row],[year]],
Teams[college]&amp;Teams[division]&amp;Teams[year],
Teams[finish], "NA")</f>
        <v>0.52638888888888891</v>
      </c>
    </row>
    <row r="765" spans="1:6" x14ac:dyDescent="0.3">
      <c r="A765" t="s">
        <v>176</v>
      </c>
      <c r="B765" t="s">
        <v>132</v>
      </c>
      <c r="C765">
        <v>6</v>
      </c>
      <c r="D765">
        <v>2026</v>
      </c>
      <c r="E765" cm="1">
        <f t="array" ref="E765">_xlfn.XLOOKUP(Table2[[#This Row],[college]]&amp;Table2[[#This Row],[division]]&amp;Table2[[#This Row],[year]],
Teams[college]&amp;Teams[division]&amp;Teams[year],
Teams[placing], "NA")</f>
        <v>0</v>
      </c>
      <c r="F765" s="1" cm="1">
        <f t="array" ref="F765">_xlfn.XLOOKUP(Table2[[#This Row],[college]]&amp;Table2[[#This Row],[division]]&amp;Table2[[#This Row],[year]],
Teams[college]&amp;Teams[division]&amp;Teams[year],
Teams[finish], "NA")</f>
        <v>0</v>
      </c>
    </row>
    <row r="766" spans="1:6" x14ac:dyDescent="0.3">
      <c r="A766" t="s">
        <v>380</v>
      </c>
      <c r="B766" t="s">
        <v>5</v>
      </c>
      <c r="C766">
        <v>7</v>
      </c>
      <c r="D766">
        <v>2024</v>
      </c>
      <c r="E766" cm="1">
        <f t="array" ref="E766">_xlfn.XLOOKUP(Table2[[#This Row],[college]]&amp;Table2[[#This Row],[division]]&amp;Table2[[#This Row],[year]],
Teams[college]&amp;Teams[division]&amp;Teams[year],
Teams[placing], "NA")</f>
        <v>4</v>
      </c>
      <c r="F766" s="1" cm="1">
        <f t="array" ref="F766">_xlfn.XLOOKUP(Table2[[#This Row],[college]]&amp;Table2[[#This Row],[division]]&amp;Table2[[#This Row],[year]],
Teams[college]&amp;Teams[division]&amp;Teams[year],
Teams[finish], "NA")</f>
        <v>0.66597222222222219</v>
      </c>
    </row>
    <row r="767" spans="1:6" x14ac:dyDescent="0.3">
      <c r="A767" t="s">
        <v>739</v>
      </c>
      <c r="B767" t="s">
        <v>754</v>
      </c>
      <c r="C767">
        <v>4</v>
      </c>
      <c r="D767">
        <v>2022</v>
      </c>
      <c r="E767" t="str" cm="1">
        <f t="array" ref="E767">_xlfn.XLOOKUP(Table2[[#This Row],[college]]&amp;Table2[[#This Row],[division]]&amp;Table2[[#This Row],[year]],
Teams[college]&amp;Teams[division]&amp;Teams[year],
Teams[placing], "NA")</f>
        <v>NA</v>
      </c>
      <c r="F767" s="1" cm="1">
        <f t="array" ref="F767">_xlfn.XLOOKUP(Table2[[#This Row],[college]]&amp;Table2[[#This Row],[division]]&amp;Table2[[#This Row],[year]],
Teams[college]&amp;Teams[division]&amp;Teams[year],
Teams[finish], "NA")</f>
        <v>0.53819444444444442</v>
      </c>
    </row>
    <row r="768" spans="1:6" x14ac:dyDescent="0.3">
      <c r="A768" t="s">
        <v>275</v>
      </c>
      <c r="B768" t="s">
        <v>266</v>
      </c>
      <c r="C768">
        <v>1</v>
      </c>
      <c r="D768">
        <v>2025</v>
      </c>
      <c r="E768" cm="1">
        <f t="array" ref="E768">_xlfn.XLOOKUP(Table2[[#This Row],[college]]&amp;Table2[[#This Row],[division]]&amp;Table2[[#This Row],[year]],
Teams[college]&amp;Teams[division]&amp;Teams[year],
Teams[placing], "NA")</f>
        <v>6</v>
      </c>
      <c r="F768" s="1" cm="1">
        <f t="array" ref="F768">_xlfn.XLOOKUP(Table2[[#This Row],[college]]&amp;Table2[[#This Row],[division]]&amp;Table2[[#This Row],[year]],
Teams[college]&amp;Teams[division]&amp;Teams[year],
Teams[finish], "NA")</f>
        <v>0.63541666666666663</v>
      </c>
    </row>
    <row r="769" spans="1:6" x14ac:dyDescent="0.3">
      <c r="A769" t="s">
        <v>275</v>
      </c>
      <c r="B769" t="s">
        <v>10</v>
      </c>
      <c r="C769">
        <v>7</v>
      </c>
      <c r="D769">
        <v>2024</v>
      </c>
      <c r="E769" cm="1">
        <f t="array" ref="E769">_xlfn.XLOOKUP(Table2[[#This Row],[college]]&amp;Table2[[#This Row],[division]]&amp;Table2[[#This Row],[year]],
Teams[college]&amp;Teams[division]&amp;Teams[year],
Teams[placing], "NA")</f>
        <v>5</v>
      </c>
      <c r="F769" s="1" cm="1">
        <f t="array" ref="F769">_xlfn.XLOOKUP(Table2[[#This Row],[college]]&amp;Table2[[#This Row],[division]]&amp;Table2[[#This Row],[year]],
Teams[college]&amp;Teams[division]&amp;Teams[year],
Teams[finish], "NA")</f>
        <v>0.69374999999999998</v>
      </c>
    </row>
    <row r="770" spans="1:6" x14ac:dyDescent="0.3">
      <c r="A770" t="s">
        <v>275</v>
      </c>
      <c r="B770" t="s">
        <v>10</v>
      </c>
      <c r="C770">
        <v>7</v>
      </c>
      <c r="D770">
        <v>2023</v>
      </c>
      <c r="E770" t="str" cm="1">
        <f t="array" ref="E770">_xlfn.XLOOKUP(Table2[[#This Row],[college]]&amp;Table2[[#This Row],[division]]&amp;Table2[[#This Row],[year]],
Teams[college]&amp;Teams[division]&amp;Teams[year],
Teams[placing], "NA")</f>
        <v>DNF</v>
      </c>
      <c r="F770" s="1" t="str" cm="1">
        <f t="array" ref="F770">_xlfn.XLOOKUP(Table2[[#This Row],[college]]&amp;Table2[[#This Row],[division]]&amp;Table2[[#This Row],[year]],
Teams[college]&amp;Teams[division]&amp;Teams[year],
Teams[finish], "NA")</f>
        <v>NA</v>
      </c>
    </row>
    <row r="771" spans="1:6" x14ac:dyDescent="0.3">
      <c r="A771" t="s">
        <v>275</v>
      </c>
      <c r="B771" t="s">
        <v>266</v>
      </c>
      <c r="C771">
        <v>2</v>
      </c>
      <c r="D771">
        <v>2026</v>
      </c>
      <c r="E771" cm="1">
        <f t="array" ref="E771">_xlfn.XLOOKUP(Table2[[#This Row],[college]]&amp;Table2[[#This Row],[division]]&amp;Table2[[#This Row],[year]],
Teams[college]&amp;Teams[division]&amp;Teams[year],
Teams[placing], "NA")</f>
        <v>0</v>
      </c>
      <c r="F771" s="1" cm="1">
        <f t="array" ref="F771">_xlfn.XLOOKUP(Table2[[#This Row],[college]]&amp;Table2[[#This Row],[division]]&amp;Table2[[#This Row],[year]],
Teams[college]&amp;Teams[division]&amp;Teams[year],
Teams[finish], "NA")</f>
        <v>0</v>
      </c>
    </row>
    <row r="772" spans="1:6" x14ac:dyDescent="0.3">
      <c r="A772" t="s">
        <v>432</v>
      </c>
      <c r="B772" t="s">
        <v>754</v>
      </c>
      <c r="C772">
        <v>5</v>
      </c>
      <c r="D772">
        <v>2024</v>
      </c>
      <c r="E772" t="str" cm="1">
        <f t="array" ref="E772">_xlfn.XLOOKUP(Table2[[#This Row],[college]]&amp;Table2[[#This Row],[division]]&amp;Table2[[#This Row],[year]],
Teams[college]&amp;Teams[division]&amp;Teams[year],
Teams[placing], "NA")</f>
        <v>NA</v>
      </c>
      <c r="F772" s="1" cm="1">
        <f t="array" ref="F772">_xlfn.XLOOKUP(Table2[[#This Row],[college]]&amp;Table2[[#This Row],[division]]&amp;Table2[[#This Row],[year]],
Teams[college]&amp;Teams[division]&amp;Teams[year],
Teams[finish], "NA")</f>
        <v>0.4777777777777778</v>
      </c>
    </row>
    <row r="773" spans="1:6" x14ac:dyDescent="0.3">
      <c r="A773" t="s">
        <v>432</v>
      </c>
      <c r="B773" t="s">
        <v>5</v>
      </c>
      <c r="C773">
        <v>3</v>
      </c>
      <c r="D773">
        <v>2022</v>
      </c>
      <c r="E773" cm="1">
        <f t="array" ref="E773">_xlfn.XLOOKUP(Table2[[#This Row],[college]]&amp;Table2[[#This Row],[division]]&amp;Table2[[#This Row],[year]],
Teams[college]&amp;Teams[division]&amp;Teams[year],
Teams[placing], "NA")</f>
        <v>1</v>
      </c>
      <c r="F773" s="1" cm="1">
        <f t="array" ref="F773">_xlfn.XLOOKUP(Table2[[#This Row],[college]]&amp;Table2[[#This Row],[division]]&amp;Table2[[#This Row],[year]],
Teams[college]&amp;Teams[division]&amp;Teams[year],
Teams[finish], "NA")</f>
        <v>0.39791666666666664</v>
      </c>
    </row>
    <row r="774" spans="1:6" x14ac:dyDescent="0.3">
      <c r="A774" t="s">
        <v>292</v>
      </c>
      <c r="B774" t="s">
        <v>250</v>
      </c>
      <c r="C774">
        <v>5</v>
      </c>
      <c r="D774">
        <v>2025</v>
      </c>
      <c r="E774" cm="1">
        <f t="array" ref="E774">_xlfn.XLOOKUP(Table2[[#This Row],[college]]&amp;Table2[[#This Row],[division]]&amp;Table2[[#This Row],[year]],
Teams[college]&amp;Teams[division]&amp;Teams[year],
Teams[placing], "NA")</f>
        <v>8</v>
      </c>
      <c r="F774" s="1" cm="1">
        <f t="array" ref="F774">_xlfn.XLOOKUP(Table2[[#This Row],[college]]&amp;Table2[[#This Row],[division]]&amp;Table2[[#This Row],[year]],
Teams[college]&amp;Teams[division]&amp;Teams[year],
Teams[finish], "NA")</f>
        <v>0.54652777777777772</v>
      </c>
    </row>
    <row r="775" spans="1:6" x14ac:dyDescent="0.3">
      <c r="A775" t="s">
        <v>637</v>
      </c>
      <c r="B775" t="s">
        <v>137</v>
      </c>
      <c r="C775">
        <v>3</v>
      </c>
      <c r="D775">
        <v>2023</v>
      </c>
      <c r="E775" cm="1">
        <f t="array" ref="E775">_xlfn.XLOOKUP(Table2[[#This Row],[college]]&amp;Table2[[#This Row],[division]]&amp;Table2[[#This Row],[year]],
Teams[college]&amp;Teams[division]&amp;Teams[year],
Teams[placing], "NA")</f>
        <v>4</v>
      </c>
      <c r="F775" s="1" cm="1">
        <f t="array" ref="F775">_xlfn.XLOOKUP(Table2[[#This Row],[college]]&amp;Table2[[#This Row],[division]]&amp;Table2[[#This Row],[year]],
Teams[college]&amp;Teams[division]&amp;Teams[year],
Teams[finish], "NA")</f>
        <v>0.65208333333333335</v>
      </c>
    </row>
    <row r="776" spans="1:6" x14ac:dyDescent="0.3">
      <c r="A776" t="s">
        <v>637</v>
      </c>
      <c r="B776" t="s">
        <v>137</v>
      </c>
      <c r="C776">
        <v>3</v>
      </c>
      <c r="D776">
        <v>2022</v>
      </c>
      <c r="E776" t="str" cm="1">
        <f t="array" ref="E776">_xlfn.XLOOKUP(Table2[[#This Row],[college]]&amp;Table2[[#This Row],[division]]&amp;Table2[[#This Row],[year]],
Teams[college]&amp;Teams[division]&amp;Teams[year],
Teams[placing], "NA")</f>
        <v>DNF</v>
      </c>
      <c r="F776" s="1" t="str" cm="1">
        <f t="array" ref="F776">_xlfn.XLOOKUP(Table2[[#This Row],[college]]&amp;Table2[[#This Row],[division]]&amp;Table2[[#This Row],[year]],
Teams[college]&amp;Teams[division]&amp;Teams[year],
Teams[finish], "NA")</f>
        <v>NA</v>
      </c>
    </row>
    <row r="777" spans="1:6" x14ac:dyDescent="0.3">
      <c r="A777" t="s">
        <v>965</v>
      </c>
      <c r="B777" t="s">
        <v>766</v>
      </c>
      <c r="C777">
        <v>7</v>
      </c>
      <c r="D777">
        <v>2026</v>
      </c>
      <c r="E777" cm="1">
        <f t="array" ref="E777">_xlfn.XLOOKUP(Table2[[#This Row],[college]]&amp;Table2[[#This Row],[division]]&amp;Table2[[#This Row],[year]],
Teams[college]&amp;Teams[division]&amp;Teams[year],
Teams[placing], "NA")</f>
        <v>0</v>
      </c>
      <c r="F777" s="1" cm="1">
        <f t="array" ref="F777">_xlfn.XLOOKUP(Table2[[#This Row],[college]]&amp;Table2[[#This Row],[division]]&amp;Table2[[#This Row],[year]],
Teams[college]&amp;Teams[division]&amp;Teams[year],
Teams[finish], "NA")</f>
        <v>0</v>
      </c>
    </row>
    <row r="778" spans="1:6" x14ac:dyDescent="0.3">
      <c r="A778" t="s">
        <v>604</v>
      </c>
      <c r="B778" t="s">
        <v>266</v>
      </c>
      <c r="C778">
        <v>6</v>
      </c>
      <c r="D778">
        <v>2023</v>
      </c>
      <c r="E778" cm="1">
        <f t="array" ref="E778">_xlfn.XLOOKUP(Table2[[#This Row],[college]]&amp;Table2[[#This Row],[division]]&amp;Table2[[#This Row],[year]],
Teams[college]&amp;Teams[division]&amp;Teams[year],
Teams[placing], "NA")</f>
        <v>2</v>
      </c>
      <c r="F778" s="1" cm="1">
        <f t="array" ref="F778">_xlfn.XLOOKUP(Table2[[#This Row],[college]]&amp;Table2[[#This Row],[division]]&amp;Table2[[#This Row],[year]],
Teams[college]&amp;Teams[division]&amp;Teams[year],
Teams[finish], "NA")</f>
        <v>0.55763888888888891</v>
      </c>
    </row>
    <row r="779" spans="1:6" x14ac:dyDescent="0.3">
      <c r="A779" t="s">
        <v>354</v>
      </c>
      <c r="B779" t="s">
        <v>266</v>
      </c>
      <c r="C779">
        <v>6</v>
      </c>
      <c r="D779">
        <v>2024</v>
      </c>
      <c r="E779" t="str" cm="1">
        <f t="array" ref="E779">_xlfn.XLOOKUP(Table2[[#This Row],[college]]&amp;Table2[[#This Row],[division]]&amp;Table2[[#This Row],[year]],
Teams[college]&amp;Teams[division]&amp;Teams[year],
Teams[placing], "NA")</f>
        <v>DNF</v>
      </c>
      <c r="F779" s="1" t="str" cm="1">
        <f t="array" ref="F779">_xlfn.XLOOKUP(Table2[[#This Row],[college]]&amp;Table2[[#This Row],[division]]&amp;Table2[[#This Row],[year]],
Teams[college]&amp;Teams[division]&amp;Teams[year],
Teams[finish], "NA")</f>
        <v>NA</v>
      </c>
    </row>
    <row r="780" spans="1:6" x14ac:dyDescent="0.3">
      <c r="A780" t="s">
        <v>517</v>
      </c>
      <c r="B780" t="s">
        <v>266</v>
      </c>
      <c r="C780">
        <v>7</v>
      </c>
      <c r="D780">
        <v>2022</v>
      </c>
      <c r="E780" cm="1">
        <f t="array" ref="E780">_xlfn.XLOOKUP(Table2[[#This Row],[college]]&amp;Table2[[#This Row],[division]]&amp;Table2[[#This Row],[year]],
Teams[college]&amp;Teams[division]&amp;Teams[year],
Teams[placing], "NA")</f>
        <v>8</v>
      </c>
      <c r="F780" s="1" cm="1">
        <f t="array" ref="F780">_xlfn.XLOOKUP(Table2[[#This Row],[college]]&amp;Table2[[#This Row],[division]]&amp;Table2[[#This Row],[year]],
Teams[college]&amp;Teams[division]&amp;Teams[year],
Teams[finish], "NA")</f>
        <v>0.49791666666666667</v>
      </c>
    </row>
    <row r="781" spans="1:6" x14ac:dyDescent="0.3">
      <c r="A781" t="s">
        <v>517</v>
      </c>
      <c r="B781" t="s">
        <v>266</v>
      </c>
      <c r="C781">
        <v>4</v>
      </c>
      <c r="D781">
        <v>2023</v>
      </c>
      <c r="E781" cm="1">
        <f t="array" ref="E781">_xlfn.XLOOKUP(Table2[[#This Row],[college]]&amp;Table2[[#This Row],[division]]&amp;Table2[[#This Row],[year]],
Teams[college]&amp;Teams[division]&amp;Teams[year],
Teams[placing], "NA")</f>
        <v>2</v>
      </c>
      <c r="F781" s="1" cm="1">
        <f t="array" ref="F781">_xlfn.XLOOKUP(Table2[[#This Row],[college]]&amp;Table2[[#This Row],[division]]&amp;Table2[[#This Row],[year]],
Teams[college]&amp;Teams[division]&amp;Teams[year],
Teams[finish], "NA")</f>
        <v>0.54097222222222219</v>
      </c>
    </row>
    <row r="782" spans="1:6" x14ac:dyDescent="0.3">
      <c r="A782" t="s">
        <v>328</v>
      </c>
      <c r="B782" t="s">
        <v>241</v>
      </c>
      <c r="C782">
        <v>7</v>
      </c>
      <c r="D782">
        <v>2025</v>
      </c>
      <c r="E782" cm="1">
        <f t="array" ref="E782">_xlfn.XLOOKUP(Table2[[#This Row],[college]]&amp;Table2[[#This Row],[division]]&amp;Table2[[#This Row],[year]],
Teams[college]&amp;Teams[division]&amp;Teams[year],
Teams[placing], "NA")</f>
        <v>10</v>
      </c>
      <c r="F782" s="1" cm="1">
        <f t="array" ref="F782">_xlfn.XLOOKUP(Table2[[#This Row],[college]]&amp;Table2[[#This Row],[division]]&amp;Table2[[#This Row],[year]],
Teams[college]&amp;Teams[division]&amp;Teams[year],
Teams[finish], "NA")</f>
        <v>0.61250000000000004</v>
      </c>
    </row>
    <row r="783" spans="1:6" x14ac:dyDescent="0.3">
      <c r="A783" t="s">
        <v>328</v>
      </c>
      <c r="B783" t="s">
        <v>241</v>
      </c>
      <c r="C783">
        <v>6</v>
      </c>
      <c r="D783">
        <v>2023</v>
      </c>
      <c r="E783" cm="1">
        <f t="array" ref="E783">_xlfn.XLOOKUP(Table2[[#This Row],[college]]&amp;Table2[[#This Row],[division]]&amp;Table2[[#This Row],[year]],
Teams[college]&amp;Teams[division]&amp;Teams[year],
Teams[placing], "NA")</f>
        <v>4</v>
      </c>
      <c r="F783" s="1" cm="1">
        <f t="array" ref="F783">_xlfn.XLOOKUP(Table2[[#This Row],[college]]&amp;Table2[[#This Row],[division]]&amp;Table2[[#This Row],[year]],
Teams[college]&amp;Teams[division]&amp;Teams[year],
Teams[finish], "NA")</f>
        <v>0.65833333333333333</v>
      </c>
    </row>
    <row r="784" spans="1:6" x14ac:dyDescent="0.3">
      <c r="A784" t="s">
        <v>349</v>
      </c>
      <c r="B784" t="s">
        <v>15</v>
      </c>
      <c r="C784">
        <v>6</v>
      </c>
      <c r="D784">
        <v>2024</v>
      </c>
      <c r="E784" cm="1">
        <f t="array" ref="E784">_xlfn.XLOOKUP(Table2[[#This Row],[college]]&amp;Table2[[#This Row],[division]]&amp;Table2[[#This Row],[year]],
Teams[college]&amp;Teams[division]&amp;Teams[year],
Teams[placing], "NA")</f>
        <v>3</v>
      </c>
      <c r="F784" s="1" cm="1">
        <f t="array" ref="F784">_xlfn.XLOOKUP(Table2[[#This Row],[college]]&amp;Table2[[#This Row],[division]]&amp;Table2[[#This Row],[year]],
Teams[college]&amp;Teams[division]&amp;Teams[year],
Teams[finish], "NA")</f>
        <v>0.61250000000000004</v>
      </c>
    </row>
    <row r="785" spans="1:6" x14ac:dyDescent="0.3">
      <c r="A785" t="s">
        <v>349</v>
      </c>
      <c r="B785" t="s">
        <v>250</v>
      </c>
      <c r="C785">
        <v>5</v>
      </c>
      <c r="D785">
        <v>2023</v>
      </c>
      <c r="E785" cm="1">
        <f t="array" ref="E785">_xlfn.XLOOKUP(Table2[[#This Row],[college]]&amp;Table2[[#This Row],[division]]&amp;Table2[[#This Row],[year]],
Teams[college]&amp;Teams[division]&amp;Teams[year],
Teams[placing], "NA")</f>
        <v>5</v>
      </c>
      <c r="F785" s="1" cm="1">
        <f t="array" ref="F785">_xlfn.XLOOKUP(Table2[[#This Row],[college]]&amp;Table2[[#This Row],[division]]&amp;Table2[[#This Row],[year]],
Teams[college]&amp;Teams[division]&amp;Teams[year],
Teams[finish], "NA")</f>
        <v>0.65277777777777779</v>
      </c>
    </row>
    <row r="786" spans="1:6" x14ac:dyDescent="0.3">
      <c r="A786" t="s">
        <v>872</v>
      </c>
      <c r="B786" t="s">
        <v>132</v>
      </c>
      <c r="C786">
        <v>4</v>
      </c>
      <c r="D786">
        <v>2026</v>
      </c>
      <c r="E786" cm="1">
        <f t="array" ref="E786">_xlfn.XLOOKUP(Table2[[#This Row],[college]]&amp;Table2[[#This Row],[division]]&amp;Table2[[#This Row],[year]],
Teams[college]&amp;Teams[division]&amp;Teams[year],
Teams[placing], "NA")</f>
        <v>0</v>
      </c>
      <c r="F786" s="1" cm="1">
        <f t="array" ref="F786">_xlfn.XLOOKUP(Table2[[#This Row],[college]]&amp;Table2[[#This Row],[division]]&amp;Table2[[#This Row],[year]],
Teams[college]&amp;Teams[division]&amp;Teams[year],
Teams[finish], "NA")</f>
        <v>0</v>
      </c>
    </row>
    <row r="787" spans="1:6" x14ac:dyDescent="0.3">
      <c r="A787" t="s">
        <v>106</v>
      </c>
      <c r="B787" t="s">
        <v>15</v>
      </c>
      <c r="C787">
        <v>3</v>
      </c>
      <c r="D787">
        <v>2025</v>
      </c>
      <c r="E787" cm="1">
        <f t="array" ref="E787">_xlfn.XLOOKUP(Table2[[#This Row],[college]]&amp;Table2[[#This Row],[division]]&amp;Table2[[#This Row],[year]],
Teams[college]&amp;Teams[division]&amp;Teams[year],
Teams[placing], "NA")</f>
        <v>7</v>
      </c>
      <c r="F787" s="1" cm="1">
        <f t="array" ref="F787">_xlfn.XLOOKUP(Table2[[#This Row],[college]]&amp;Table2[[#This Row],[division]]&amp;Table2[[#This Row],[year]],
Teams[college]&amp;Teams[division]&amp;Teams[year],
Teams[finish], "NA")</f>
        <v>0.6333333333333333</v>
      </c>
    </row>
    <row r="788" spans="1:6" x14ac:dyDescent="0.3">
      <c r="A788" t="s">
        <v>150</v>
      </c>
      <c r="B788" t="s">
        <v>132</v>
      </c>
      <c r="C788">
        <v>2</v>
      </c>
      <c r="D788">
        <v>2025</v>
      </c>
      <c r="E788" cm="1">
        <f t="array" ref="E788">_xlfn.XLOOKUP(Table2[[#This Row],[college]]&amp;Table2[[#This Row],[division]]&amp;Table2[[#This Row],[year]],
Teams[college]&amp;Teams[division]&amp;Teams[year],
Teams[placing], "NA")</f>
        <v>2</v>
      </c>
      <c r="F788" s="1" cm="1">
        <f t="array" ref="F788">_xlfn.XLOOKUP(Table2[[#This Row],[college]]&amp;Table2[[#This Row],[division]]&amp;Table2[[#This Row],[year]],
Teams[college]&amp;Teams[division]&amp;Teams[year],
Teams[finish], "NA")</f>
        <v>0.53541666666666665</v>
      </c>
    </row>
    <row r="789" spans="1:6" x14ac:dyDescent="0.3">
      <c r="A789" t="s">
        <v>206</v>
      </c>
      <c r="B789" t="s">
        <v>5</v>
      </c>
      <c r="C789">
        <v>2</v>
      </c>
      <c r="D789">
        <v>2025</v>
      </c>
      <c r="E789" cm="1">
        <f t="array" ref="E789">_xlfn.XLOOKUP(Table2[[#This Row],[college]]&amp;Table2[[#This Row],[division]]&amp;Table2[[#This Row],[year]],
Teams[college]&amp;Teams[division]&amp;Teams[year],
Teams[placing], "NA")</f>
        <v>1</v>
      </c>
      <c r="F789" s="1" cm="1">
        <f t="array" ref="F789">_xlfn.XLOOKUP(Table2[[#This Row],[college]]&amp;Table2[[#This Row],[division]]&amp;Table2[[#This Row],[year]],
Teams[college]&amp;Teams[division]&amp;Teams[year],
Teams[finish], "NA")</f>
        <v>0.50416666666666665</v>
      </c>
    </row>
    <row r="790" spans="1:6" x14ac:dyDescent="0.3">
      <c r="A790" t="s">
        <v>206</v>
      </c>
      <c r="B790" t="s">
        <v>5</v>
      </c>
      <c r="C790">
        <v>2</v>
      </c>
      <c r="D790">
        <v>2024</v>
      </c>
      <c r="E790" cm="1">
        <f t="array" ref="E790">_xlfn.XLOOKUP(Table2[[#This Row],[college]]&amp;Table2[[#This Row],[division]]&amp;Table2[[#This Row],[year]],
Teams[college]&amp;Teams[division]&amp;Teams[year],
Teams[placing], "NA")</f>
        <v>2</v>
      </c>
      <c r="F790" s="1" cm="1">
        <f t="array" ref="F790">_xlfn.XLOOKUP(Table2[[#This Row],[college]]&amp;Table2[[#This Row],[division]]&amp;Table2[[#This Row],[year]],
Teams[college]&amp;Teams[division]&amp;Teams[year],
Teams[finish], "NA")</f>
        <v>0.51597222222222228</v>
      </c>
    </row>
    <row r="791" spans="1:6" x14ac:dyDescent="0.3">
      <c r="A791" t="s">
        <v>723</v>
      </c>
      <c r="B791" t="s">
        <v>137</v>
      </c>
      <c r="C791">
        <v>1</v>
      </c>
      <c r="D791">
        <v>2022</v>
      </c>
      <c r="E791" cm="1">
        <f t="array" ref="E791">_xlfn.XLOOKUP(Table2[[#This Row],[college]]&amp;Table2[[#This Row],[division]]&amp;Table2[[#This Row],[year]],
Teams[college]&amp;Teams[division]&amp;Teams[year],
Teams[placing], "NA")</f>
        <v>4</v>
      </c>
      <c r="F791" s="1" cm="1">
        <f t="array" ref="F791">_xlfn.XLOOKUP(Table2[[#This Row],[college]]&amp;Table2[[#This Row],[division]]&amp;Table2[[#This Row],[year]],
Teams[college]&amp;Teams[division]&amp;Teams[year],
Teams[finish], "NA")</f>
        <v>0.60763888888888884</v>
      </c>
    </row>
    <row r="792" spans="1:6" x14ac:dyDescent="0.3">
      <c r="A792" t="s">
        <v>64</v>
      </c>
      <c r="B792" t="s">
        <v>10</v>
      </c>
      <c r="C792">
        <v>2</v>
      </c>
      <c r="D792">
        <v>2025</v>
      </c>
      <c r="E792" t="str" cm="1">
        <f t="array" ref="E792">_xlfn.XLOOKUP(Table2[[#This Row],[college]]&amp;Table2[[#This Row],[division]]&amp;Table2[[#This Row],[year]],
Teams[college]&amp;Teams[division]&amp;Teams[year],
Teams[placing], "NA")</f>
        <v>DNF</v>
      </c>
      <c r="F792" s="1" t="str" cm="1">
        <f t="array" ref="F792">_xlfn.XLOOKUP(Table2[[#This Row],[college]]&amp;Table2[[#This Row],[division]]&amp;Table2[[#This Row],[year]],
Teams[college]&amp;Teams[division]&amp;Teams[year],
Teams[finish], "NA")</f>
        <v>NA</v>
      </c>
    </row>
    <row r="793" spans="1:6" x14ac:dyDescent="0.3">
      <c r="A793" t="s">
        <v>446</v>
      </c>
      <c r="B793" t="s">
        <v>10</v>
      </c>
      <c r="C793">
        <v>5</v>
      </c>
      <c r="D793">
        <v>2024</v>
      </c>
      <c r="E793" cm="1">
        <f t="array" ref="E793">_xlfn.XLOOKUP(Table2[[#This Row],[college]]&amp;Table2[[#This Row],[division]]&amp;Table2[[#This Row],[year]],
Teams[college]&amp;Teams[division]&amp;Teams[year],
Teams[placing], "NA")</f>
        <v>5</v>
      </c>
      <c r="F793" s="1" cm="1">
        <f t="array" ref="F793">_xlfn.XLOOKUP(Table2[[#This Row],[college]]&amp;Table2[[#This Row],[division]]&amp;Table2[[#This Row],[year]],
Teams[college]&amp;Teams[division]&amp;Teams[year],
Teams[finish], "NA")</f>
        <v>0.61805555555555558</v>
      </c>
    </row>
    <row r="794" spans="1:6" x14ac:dyDescent="0.3">
      <c r="A794" t="s">
        <v>649</v>
      </c>
      <c r="B794" t="s">
        <v>5</v>
      </c>
      <c r="C794">
        <v>2</v>
      </c>
      <c r="D794">
        <v>2023</v>
      </c>
      <c r="E794" t="str" cm="1">
        <f t="array" ref="E794">_xlfn.XLOOKUP(Table2[[#This Row],[college]]&amp;Table2[[#This Row],[division]]&amp;Table2[[#This Row],[year]],
Teams[college]&amp;Teams[division]&amp;Teams[year],
Teams[placing], "NA")</f>
        <v>DNF</v>
      </c>
      <c r="F794" s="1" t="str" cm="1">
        <f t="array" ref="F794">_xlfn.XLOOKUP(Table2[[#This Row],[college]]&amp;Table2[[#This Row],[division]]&amp;Table2[[#This Row],[year]],
Teams[college]&amp;Teams[division]&amp;Teams[year],
Teams[finish], "NA")</f>
        <v>NA</v>
      </c>
    </row>
    <row r="795" spans="1:6" x14ac:dyDescent="0.3">
      <c r="A795" t="s">
        <v>708</v>
      </c>
      <c r="B795" t="s">
        <v>123</v>
      </c>
      <c r="C795">
        <v>7</v>
      </c>
      <c r="D795">
        <v>2022</v>
      </c>
      <c r="E795" cm="1">
        <f t="array" ref="E795">_xlfn.XLOOKUP(Table2[[#This Row],[college]]&amp;Table2[[#This Row],[division]]&amp;Table2[[#This Row],[year]],
Teams[college]&amp;Teams[division]&amp;Teams[year],
Teams[placing], "NA")</f>
        <v>3</v>
      </c>
      <c r="F795" s="1" cm="1">
        <f t="array" ref="F795">_xlfn.XLOOKUP(Table2[[#This Row],[college]]&amp;Table2[[#This Row],[division]]&amp;Table2[[#This Row],[year]],
Teams[college]&amp;Teams[division]&amp;Teams[year],
Teams[finish], "NA")</f>
        <v>0.45763888888888893</v>
      </c>
    </row>
    <row r="796" spans="1:6" x14ac:dyDescent="0.3">
      <c r="A796" t="s">
        <v>317</v>
      </c>
      <c r="B796" t="s">
        <v>241</v>
      </c>
      <c r="C796">
        <v>3</v>
      </c>
      <c r="D796">
        <v>2025</v>
      </c>
      <c r="E796" cm="1">
        <f t="array" ref="E796">_xlfn.XLOOKUP(Table2[[#This Row],[college]]&amp;Table2[[#This Row],[division]]&amp;Table2[[#This Row],[year]],
Teams[college]&amp;Teams[division]&amp;Teams[year],
Teams[placing], "NA")</f>
        <v>6</v>
      </c>
      <c r="F796" s="1" cm="1">
        <f t="array" ref="F796">_xlfn.XLOOKUP(Table2[[#This Row],[college]]&amp;Table2[[#This Row],[division]]&amp;Table2[[#This Row],[year]],
Teams[college]&amp;Teams[division]&amp;Teams[year],
Teams[finish], "NA")</f>
        <v>0.60972222222222228</v>
      </c>
    </row>
    <row r="797" spans="1:6" x14ac:dyDescent="0.3">
      <c r="A797" t="s">
        <v>317</v>
      </c>
      <c r="B797" t="s">
        <v>241</v>
      </c>
      <c r="C797">
        <v>5</v>
      </c>
      <c r="D797">
        <v>2024</v>
      </c>
      <c r="E797" t="str" cm="1">
        <f t="array" ref="E797">_xlfn.XLOOKUP(Table2[[#This Row],[college]]&amp;Table2[[#This Row],[division]]&amp;Table2[[#This Row],[year]],
Teams[college]&amp;Teams[division]&amp;Teams[year],
Teams[placing], "NA")</f>
        <v>DNF</v>
      </c>
      <c r="F797" s="1" t="str" cm="1">
        <f t="array" ref="F797">_xlfn.XLOOKUP(Table2[[#This Row],[college]]&amp;Table2[[#This Row],[division]]&amp;Table2[[#This Row],[year]],
Teams[college]&amp;Teams[division]&amp;Teams[year],
Teams[finish], "NA")</f>
        <v>NA</v>
      </c>
    </row>
    <row r="798" spans="1:6" x14ac:dyDescent="0.3">
      <c r="A798" t="s">
        <v>825</v>
      </c>
      <c r="B798" t="s">
        <v>241</v>
      </c>
      <c r="C798">
        <v>2</v>
      </c>
      <c r="D798">
        <v>2026</v>
      </c>
      <c r="E798" cm="1">
        <f t="array" ref="E798">_xlfn.XLOOKUP(Table2[[#This Row],[college]]&amp;Table2[[#This Row],[division]]&amp;Table2[[#This Row],[year]],
Teams[college]&amp;Teams[division]&amp;Teams[year],
Teams[placing], "NA")</f>
        <v>0</v>
      </c>
      <c r="F798" s="1" cm="1">
        <f t="array" ref="F798">_xlfn.XLOOKUP(Table2[[#This Row],[college]]&amp;Table2[[#This Row],[division]]&amp;Table2[[#This Row],[year]],
Teams[college]&amp;Teams[division]&amp;Teams[year],
Teams[finish], "NA")</f>
        <v>0</v>
      </c>
    </row>
    <row r="799" spans="1:6" x14ac:dyDescent="0.3">
      <c r="A799" t="s">
        <v>258</v>
      </c>
      <c r="B799" t="s">
        <v>250</v>
      </c>
      <c r="C799">
        <v>2</v>
      </c>
      <c r="D799">
        <v>2025</v>
      </c>
      <c r="E799" cm="1">
        <f t="array" ref="E799">_xlfn.XLOOKUP(Table2[[#This Row],[college]]&amp;Table2[[#This Row],[division]]&amp;Table2[[#This Row],[year]],
Teams[college]&amp;Teams[division]&amp;Teams[year],
Teams[placing], "NA")</f>
        <v>3</v>
      </c>
      <c r="F799" s="1" cm="1">
        <f t="array" ref="F799">_xlfn.XLOOKUP(Table2[[#This Row],[college]]&amp;Table2[[#This Row],[division]]&amp;Table2[[#This Row],[year]],
Teams[college]&amp;Teams[division]&amp;Teams[year],
Teams[finish], "NA")</f>
        <v>0.5625</v>
      </c>
    </row>
    <row r="800" spans="1:6" x14ac:dyDescent="0.3">
      <c r="A800" t="s">
        <v>258</v>
      </c>
      <c r="B800" t="s">
        <v>250</v>
      </c>
      <c r="C800">
        <v>4</v>
      </c>
      <c r="D800">
        <v>2024</v>
      </c>
      <c r="E800" t="str" cm="1">
        <f t="array" ref="E800">_xlfn.XLOOKUP(Table2[[#This Row],[college]]&amp;Table2[[#This Row],[division]]&amp;Table2[[#This Row],[year]],
Teams[college]&amp;Teams[division]&amp;Teams[year],
Teams[placing], "NA")</f>
        <v>DNF</v>
      </c>
      <c r="F800" s="1" t="str" cm="1">
        <f t="array" ref="F800">_xlfn.XLOOKUP(Table2[[#This Row],[college]]&amp;Table2[[#This Row],[division]]&amp;Table2[[#This Row],[year]],
Teams[college]&amp;Teams[division]&amp;Teams[year],
Teams[finish], "NA")</f>
        <v>NA</v>
      </c>
    </row>
    <row r="801" spans="1:6" x14ac:dyDescent="0.3">
      <c r="A801" t="s">
        <v>656</v>
      </c>
      <c r="B801" t="s">
        <v>123</v>
      </c>
      <c r="C801">
        <v>4</v>
      </c>
      <c r="D801">
        <v>2022</v>
      </c>
      <c r="E801" cm="1">
        <f t="array" ref="E801">_xlfn.XLOOKUP(Table2[[#This Row],[college]]&amp;Table2[[#This Row],[division]]&amp;Table2[[#This Row],[year]],
Teams[college]&amp;Teams[division]&amp;Teams[year],
Teams[placing], "NA")</f>
        <v>2</v>
      </c>
      <c r="F801" s="1" cm="1">
        <f t="array" ref="F801">_xlfn.XLOOKUP(Table2[[#This Row],[college]]&amp;Table2[[#This Row],[division]]&amp;Table2[[#This Row],[year]],
Teams[college]&amp;Teams[division]&amp;Teams[year],
Teams[finish], "NA")</f>
        <v>0.4465277777777778</v>
      </c>
    </row>
    <row r="802" spans="1:6" x14ac:dyDescent="0.3">
      <c r="A802" t="s">
        <v>379</v>
      </c>
      <c r="B802" t="s">
        <v>123</v>
      </c>
      <c r="C802">
        <v>7</v>
      </c>
      <c r="D802">
        <v>2024</v>
      </c>
      <c r="E802" cm="1">
        <f t="array" ref="E802">_xlfn.XLOOKUP(Table2[[#This Row],[college]]&amp;Table2[[#This Row],[division]]&amp;Table2[[#This Row],[year]],
Teams[college]&amp;Teams[division]&amp;Teams[year],
Teams[placing], "NA")</f>
        <v>8</v>
      </c>
      <c r="F802" s="1" cm="1">
        <f t="array" ref="F802">_xlfn.XLOOKUP(Table2[[#This Row],[college]]&amp;Table2[[#This Row],[division]]&amp;Table2[[#This Row],[year]],
Teams[college]&amp;Teams[division]&amp;Teams[year],
Teams[finish], "NA")</f>
        <v>0.70347222222222228</v>
      </c>
    </row>
    <row r="803" spans="1:6" x14ac:dyDescent="0.3">
      <c r="A803" t="s">
        <v>368</v>
      </c>
      <c r="B803" t="s">
        <v>132</v>
      </c>
      <c r="C803">
        <v>7</v>
      </c>
      <c r="D803">
        <v>2024</v>
      </c>
      <c r="E803" cm="1">
        <f t="array" ref="E803">_xlfn.XLOOKUP(Table2[[#This Row],[college]]&amp;Table2[[#This Row],[division]]&amp;Table2[[#This Row],[year]],
Teams[college]&amp;Teams[division]&amp;Teams[year],
Teams[placing], "NA")</f>
        <v>3</v>
      </c>
      <c r="F803" s="1" cm="1">
        <f t="array" ref="F803">_xlfn.XLOOKUP(Table2[[#This Row],[college]]&amp;Table2[[#This Row],[division]]&amp;Table2[[#This Row],[year]],
Teams[college]&amp;Teams[division]&amp;Teams[year],
Teams[finish], "NA")</f>
        <v>0.64166666666666672</v>
      </c>
    </row>
    <row r="804" spans="1:6" x14ac:dyDescent="0.3">
      <c r="A804" t="s">
        <v>606</v>
      </c>
      <c r="B804" t="s">
        <v>250</v>
      </c>
      <c r="C804">
        <v>7</v>
      </c>
      <c r="D804">
        <v>2022</v>
      </c>
      <c r="E804" cm="1">
        <f t="array" ref="E804">_xlfn.XLOOKUP(Table2[[#This Row],[college]]&amp;Table2[[#This Row],[division]]&amp;Table2[[#This Row],[year]],
Teams[college]&amp;Teams[division]&amp;Teams[year],
Teams[placing], "NA")</f>
        <v>7</v>
      </c>
      <c r="F804" s="1" cm="1">
        <f t="array" ref="F804">_xlfn.XLOOKUP(Table2[[#This Row],[college]]&amp;Table2[[#This Row],[division]]&amp;Table2[[#This Row],[year]],
Teams[college]&amp;Teams[division]&amp;Teams[year],
Teams[finish], "NA")</f>
        <v>0.49513888888888891</v>
      </c>
    </row>
    <row r="805" spans="1:6" x14ac:dyDescent="0.3">
      <c r="A805" t="s">
        <v>606</v>
      </c>
      <c r="B805" t="s">
        <v>250</v>
      </c>
      <c r="C805">
        <v>7</v>
      </c>
      <c r="D805">
        <v>2023</v>
      </c>
      <c r="E805" cm="1">
        <f t="array" ref="E805">_xlfn.XLOOKUP(Table2[[#This Row],[college]]&amp;Table2[[#This Row],[division]]&amp;Table2[[#This Row],[year]],
Teams[college]&amp;Teams[division]&amp;Teams[year],
Teams[placing], "NA")</f>
        <v>10</v>
      </c>
      <c r="F805" s="1" cm="1">
        <f t="array" ref="F805">_xlfn.XLOOKUP(Table2[[#This Row],[college]]&amp;Table2[[#This Row],[division]]&amp;Table2[[#This Row],[year]],
Teams[college]&amp;Teams[division]&amp;Teams[year],
Teams[finish], "NA")</f>
        <v>0.6743055555555556</v>
      </c>
    </row>
    <row r="806" spans="1:6" x14ac:dyDescent="0.3">
      <c r="A806" t="s">
        <v>318</v>
      </c>
      <c r="B806" t="s">
        <v>266</v>
      </c>
      <c r="C806">
        <v>4</v>
      </c>
      <c r="D806">
        <v>2024</v>
      </c>
      <c r="E806" cm="1">
        <f t="array" ref="E806">_xlfn.XLOOKUP(Table2[[#This Row],[college]]&amp;Table2[[#This Row],[division]]&amp;Table2[[#This Row],[year]],
Teams[college]&amp;Teams[division]&amp;Teams[year],
Teams[placing], "NA")</f>
        <v>2</v>
      </c>
      <c r="F806" s="1" cm="1">
        <f t="array" ref="F806">_xlfn.XLOOKUP(Table2[[#This Row],[college]]&amp;Table2[[#This Row],[division]]&amp;Table2[[#This Row],[year]],
Teams[college]&amp;Teams[division]&amp;Teams[year],
Teams[finish], "NA")</f>
        <v>0.63749999999999996</v>
      </c>
    </row>
    <row r="807" spans="1:6" x14ac:dyDescent="0.3">
      <c r="A807" t="s">
        <v>318</v>
      </c>
      <c r="B807" t="s">
        <v>266</v>
      </c>
      <c r="C807">
        <v>4</v>
      </c>
      <c r="D807">
        <v>2025</v>
      </c>
      <c r="E807" cm="1">
        <f t="array" ref="E807">_xlfn.XLOOKUP(Table2[[#This Row],[college]]&amp;Table2[[#This Row],[division]]&amp;Table2[[#This Row],[year]],
Teams[college]&amp;Teams[division]&amp;Teams[year],
Teams[placing], "NA")</f>
        <v>7</v>
      </c>
      <c r="F807" s="1" cm="1">
        <f t="array" ref="F807">_xlfn.XLOOKUP(Table2[[#This Row],[college]]&amp;Table2[[#This Row],[division]]&amp;Table2[[#This Row],[year]],
Teams[college]&amp;Teams[division]&amp;Teams[year],
Teams[finish], "NA")</f>
        <v>0.65347222222222223</v>
      </c>
    </row>
    <row r="808" spans="1:6" x14ac:dyDescent="0.3">
      <c r="A808" t="s">
        <v>318</v>
      </c>
      <c r="B808" t="s">
        <v>266</v>
      </c>
      <c r="C808">
        <v>3</v>
      </c>
      <c r="D808">
        <v>2026</v>
      </c>
      <c r="E808" cm="1">
        <f t="array" ref="E808">_xlfn.XLOOKUP(Table2[[#This Row],[college]]&amp;Table2[[#This Row],[division]]&amp;Table2[[#This Row],[year]],
Teams[college]&amp;Teams[division]&amp;Teams[year],
Teams[placing], "NA")</f>
        <v>0</v>
      </c>
      <c r="F808" s="1" cm="1">
        <f t="array" ref="F808">_xlfn.XLOOKUP(Table2[[#This Row],[college]]&amp;Table2[[#This Row],[division]]&amp;Table2[[#This Row],[year]],
Teams[college]&amp;Teams[division]&amp;Teams[year],
Teams[finish], "NA")</f>
        <v>0</v>
      </c>
    </row>
    <row r="809" spans="1:6" x14ac:dyDescent="0.3">
      <c r="A809" t="s">
        <v>427</v>
      </c>
      <c r="B809" t="s">
        <v>48</v>
      </c>
      <c r="C809">
        <v>7</v>
      </c>
      <c r="D809">
        <v>2024</v>
      </c>
      <c r="E809" cm="1">
        <f t="array" ref="E809">_xlfn.XLOOKUP(Table2[[#This Row],[college]]&amp;Table2[[#This Row],[division]]&amp;Table2[[#This Row],[year]],
Teams[college]&amp;Teams[division]&amp;Teams[year],
Teams[placing], "NA")</f>
        <v>6</v>
      </c>
      <c r="F809" s="1" cm="1">
        <f t="array" ref="F809">_xlfn.XLOOKUP(Table2[[#This Row],[college]]&amp;Table2[[#This Row],[division]]&amp;Table2[[#This Row],[year]],
Teams[college]&amp;Teams[division]&amp;Teams[year],
Teams[finish], "NA")</f>
        <v>0.6958333333333333</v>
      </c>
    </row>
    <row r="810" spans="1:6" x14ac:dyDescent="0.3">
      <c r="A810" t="s">
        <v>878</v>
      </c>
      <c r="B810" t="s">
        <v>250</v>
      </c>
      <c r="C810">
        <v>4</v>
      </c>
      <c r="D810">
        <v>2026</v>
      </c>
      <c r="E810" cm="1">
        <f t="array" ref="E810">_xlfn.XLOOKUP(Table2[[#This Row],[college]]&amp;Table2[[#This Row],[division]]&amp;Table2[[#This Row],[year]],
Teams[college]&amp;Teams[division]&amp;Teams[year],
Teams[placing], "NA")</f>
        <v>0</v>
      </c>
      <c r="F810" s="1" cm="1">
        <f t="array" ref="F810">_xlfn.XLOOKUP(Table2[[#This Row],[college]]&amp;Table2[[#This Row],[division]]&amp;Table2[[#This Row],[year]],
Teams[college]&amp;Teams[division]&amp;Teams[year],
Teams[finish], "NA")</f>
        <v>0</v>
      </c>
    </row>
    <row r="811" spans="1:6" x14ac:dyDescent="0.3">
      <c r="A811" t="s">
        <v>151</v>
      </c>
      <c r="B811" t="s">
        <v>132</v>
      </c>
      <c r="C811">
        <v>2</v>
      </c>
      <c r="D811">
        <v>2025</v>
      </c>
      <c r="E811" cm="1">
        <f t="array" ref="E811">_xlfn.XLOOKUP(Table2[[#This Row],[college]]&amp;Table2[[#This Row],[division]]&amp;Table2[[#This Row],[year]],
Teams[college]&amp;Teams[division]&amp;Teams[year],
Teams[placing], "NA")</f>
        <v>2</v>
      </c>
      <c r="F811" s="1" cm="1">
        <f t="array" ref="F811">_xlfn.XLOOKUP(Table2[[#This Row],[college]]&amp;Table2[[#This Row],[division]]&amp;Table2[[#This Row],[year]],
Teams[college]&amp;Teams[division]&amp;Teams[year],
Teams[finish], "NA")</f>
        <v>0.53541666666666665</v>
      </c>
    </row>
    <row r="812" spans="1:6" x14ac:dyDescent="0.3">
      <c r="A812" t="s">
        <v>151</v>
      </c>
      <c r="B812" t="s">
        <v>132</v>
      </c>
      <c r="C812">
        <v>4</v>
      </c>
      <c r="D812">
        <v>2024</v>
      </c>
      <c r="E812" cm="1">
        <f t="array" ref="E812">_xlfn.XLOOKUP(Table2[[#This Row],[college]]&amp;Table2[[#This Row],[division]]&amp;Table2[[#This Row],[year]],
Teams[college]&amp;Teams[division]&amp;Teams[year],
Teams[placing], "NA")</f>
        <v>4</v>
      </c>
      <c r="F812" s="1" cm="1">
        <f t="array" ref="F812">_xlfn.XLOOKUP(Table2[[#This Row],[college]]&amp;Table2[[#This Row],[division]]&amp;Table2[[#This Row],[year]],
Teams[college]&amp;Teams[division]&amp;Teams[year],
Teams[finish], "NA")</f>
        <v>0.65277777777777779</v>
      </c>
    </row>
    <row r="813" spans="1:6" x14ac:dyDescent="0.3">
      <c r="A813" t="s">
        <v>390</v>
      </c>
      <c r="B813" t="s">
        <v>266</v>
      </c>
      <c r="C813">
        <v>4</v>
      </c>
      <c r="D813">
        <v>2023</v>
      </c>
      <c r="E813" cm="1">
        <f t="array" ref="E813">_xlfn.XLOOKUP(Table2[[#This Row],[college]]&amp;Table2[[#This Row],[division]]&amp;Table2[[#This Row],[year]],
Teams[college]&amp;Teams[division]&amp;Teams[year],
Teams[placing], "NA")</f>
        <v>2</v>
      </c>
      <c r="F813" s="1" cm="1">
        <f t="array" ref="F813">_xlfn.XLOOKUP(Table2[[#This Row],[college]]&amp;Table2[[#This Row],[division]]&amp;Table2[[#This Row],[year]],
Teams[college]&amp;Teams[division]&amp;Teams[year],
Teams[finish], "NA")</f>
        <v>0.54097222222222219</v>
      </c>
    </row>
    <row r="814" spans="1:6" x14ac:dyDescent="0.3">
      <c r="A814" t="s">
        <v>390</v>
      </c>
      <c r="B814" t="s">
        <v>266</v>
      </c>
      <c r="C814">
        <v>5</v>
      </c>
      <c r="D814">
        <v>2022</v>
      </c>
      <c r="E814" cm="1">
        <f t="array" ref="E814">_xlfn.XLOOKUP(Table2[[#This Row],[college]]&amp;Table2[[#This Row],[division]]&amp;Table2[[#This Row],[year]],
Teams[college]&amp;Teams[division]&amp;Teams[year],
Teams[placing], "NA")</f>
        <v>8</v>
      </c>
      <c r="F814" s="1" cm="1">
        <f t="array" ref="F814">_xlfn.XLOOKUP(Table2[[#This Row],[college]]&amp;Table2[[#This Row],[division]]&amp;Table2[[#This Row],[year]],
Teams[college]&amp;Teams[division]&amp;Teams[year],
Teams[finish], "NA")</f>
        <v>0.6381944444444444</v>
      </c>
    </row>
    <row r="815" spans="1:6" x14ac:dyDescent="0.3">
      <c r="A815" t="s">
        <v>390</v>
      </c>
      <c r="B815" t="s">
        <v>266</v>
      </c>
      <c r="C815">
        <v>1</v>
      </c>
      <c r="D815">
        <v>2024</v>
      </c>
      <c r="E815" cm="1">
        <f t="array" ref="E815">_xlfn.XLOOKUP(Table2[[#This Row],[college]]&amp;Table2[[#This Row],[division]]&amp;Table2[[#This Row],[year]],
Teams[college]&amp;Teams[division]&amp;Teams[year],
Teams[placing], "NA")</f>
        <v>7</v>
      </c>
      <c r="F815" s="1" cm="1">
        <f t="array" ref="F815">_xlfn.XLOOKUP(Table2[[#This Row],[college]]&amp;Table2[[#This Row],[division]]&amp;Table2[[#This Row],[year]],
Teams[college]&amp;Teams[division]&amp;Teams[year],
Teams[finish], "NA")</f>
        <v>0.69097222222222221</v>
      </c>
    </row>
    <row r="816" spans="1:6" x14ac:dyDescent="0.3">
      <c r="A816" t="s">
        <v>762</v>
      </c>
      <c r="B816" t="s">
        <v>250</v>
      </c>
      <c r="C816">
        <v>1</v>
      </c>
      <c r="D816">
        <v>2025</v>
      </c>
      <c r="E816" cm="1">
        <f t="array" ref="E816">_xlfn.XLOOKUP(Table2[[#This Row],[college]]&amp;Table2[[#This Row],[division]]&amp;Table2[[#This Row],[year]],
Teams[college]&amp;Teams[division]&amp;Teams[year],
Teams[placing], "NA")</f>
        <v>9</v>
      </c>
      <c r="F816" s="1" cm="1">
        <f t="array" ref="F816">_xlfn.XLOOKUP(Table2[[#This Row],[college]]&amp;Table2[[#This Row],[division]]&amp;Table2[[#This Row],[year]],
Teams[college]&amp;Teams[division]&amp;Teams[year],
Teams[finish], "NA")</f>
        <v>0.68680555555555556</v>
      </c>
    </row>
    <row r="817" spans="1:6" x14ac:dyDescent="0.3">
      <c r="A817" t="s">
        <v>924</v>
      </c>
      <c r="B817" t="s">
        <v>266</v>
      </c>
      <c r="C817">
        <v>6</v>
      </c>
      <c r="D817">
        <v>2026</v>
      </c>
      <c r="E817" cm="1">
        <f t="array" ref="E817">_xlfn.XLOOKUP(Table2[[#This Row],[college]]&amp;Table2[[#This Row],[division]]&amp;Table2[[#This Row],[year]],
Teams[college]&amp;Teams[division]&amp;Teams[year],
Teams[placing], "NA")</f>
        <v>0</v>
      </c>
      <c r="F817" s="1" cm="1">
        <f t="array" ref="F817">_xlfn.XLOOKUP(Table2[[#This Row],[college]]&amp;Table2[[#This Row],[division]]&amp;Table2[[#This Row],[year]],
Teams[college]&amp;Teams[division]&amp;Teams[year],
Teams[finish], "NA")</f>
        <v>0</v>
      </c>
    </row>
    <row r="818" spans="1:6" x14ac:dyDescent="0.3">
      <c r="A818" t="s">
        <v>141</v>
      </c>
      <c r="B818" t="s">
        <v>132</v>
      </c>
      <c r="C818">
        <v>2</v>
      </c>
      <c r="D818">
        <v>2024</v>
      </c>
      <c r="E818" cm="1">
        <f t="array" ref="E818">_xlfn.XLOOKUP(Table2[[#This Row],[college]]&amp;Table2[[#This Row],[division]]&amp;Table2[[#This Row],[year]],
Teams[college]&amp;Teams[division]&amp;Teams[year],
Teams[placing], "NA")</f>
        <v>4</v>
      </c>
      <c r="F818" s="1" cm="1">
        <f t="array" ref="F818">_xlfn.XLOOKUP(Table2[[#This Row],[college]]&amp;Table2[[#This Row],[division]]&amp;Table2[[#This Row],[year]],
Teams[college]&amp;Teams[division]&amp;Teams[year],
Teams[finish], "NA")</f>
        <v>0.5444444444444444</v>
      </c>
    </row>
    <row r="819" spans="1:6" x14ac:dyDescent="0.3">
      <c r="A819" t="s">
        <v>141</v>
      </c>
      <c r="B819" t="s">
        <v>132</v>
      </c>
      <c r="C819">
        <v>1</v>
      </c>
      <c r="D819">
        <v>2025</v>
      </c>
      <c r="E819" cm="1">
        <f t="array" ref="E819">_xlfn.XLOOKUP(Table2[[#This Row],[college]]&amp;Table2[[#This Row],[division]]&amp;Table2[[#This Row],[year]],
Teams[college]&amp;Teams[division]&amp;Teams[year],
Teams[placing], "NA")</f>
        <v>7</v>
      </c>
      <c r="F819" s="1" cm="1">
        <f t="array" ref="F819">_xlfn.XLOOKUP(Table2[[#This Row],[college]]&amp;Table2[[#This Row],[division]]&amp;Table2[[#This Row],[year]],
Teams[college]&amp;Teams[division]&amp;Teams[year],
Teams[finish], "NA")</f>
        <v>0.65625</v>
      </c>
    </row>
    <row r="820" spans="1:6" x14ac:dyDescent="0.3">
      <c r="A820" t="s">
        <v>721</v>
      </c>
      <c r="B820" t="s">
        <v>266</v>
      </c>
      <c r="C820">
        <v>7</v>
      </c>
      <c r="D820">
        <v>2022</v>
      </c>
      <c r="E820" cm="1">
        <f t="array" ref="E820">_xlfn.XLOOKUP(Table2[[#This Row],[college]]&amp;Table2[[#This Row],[division]]&amp;Table2[[#This Row],[year]],
Teams[college]&amp;Teams[division]&amp;Teams[year],
Teams[placing], "NA")</f>
        <v>8</v>
      </c>
      <c r="F820" s="1" cm="1">
        <f t="array" ref="F820">_xlfn.XLOOKUP(Table2[[#This Row],[college]]&amp;Table2[[#This Row],[division]]&amp;Table2[[#This Row],[year]],
Teams[college]&amp;Teams[division]&amp;Teams[year],
Teams[finish], "NA")</f>
        <v>0.49791666666666667</v>
      </c>
    </row>
    <row r="821" spans="1:6" x14ac:dyDescent="0.3">
      <c r="A821" t="s">
        <v>652</v>
      </c>
      <c r="B821" t="s">
        <v>755</v>
      </c>
      <c r="C821">
        <v>4</v>
      </c>
      <c r="D821">
        <v>2023</v>
      </c>
      <c r="E821" t="str" cm="1">
        <f t="array" ref="E821">_xlfn.XLOOKUP(Table2[[#This Row],[college]]&amp;Table2[[#This Row],[division]]&amp;Table2[[#This Row],[year]],
Teams[college]&amp;Teams[division]&amp;Teams[year],
Teams[placing], "NA")</f>
        <v>DNF</v>
      </c>
      <c r="F821" s="1" t="str" cm="1">
        <f t="array" ref="F821">_xlfn.XLOOKUP(Table2[[#This Row],[college]]&amp;Table2[[#This Row],[division]]&amp;Table2[[#This Row],[year]],
Teams[college]&amp;Teams[division]&amp;Teams[year],
Teams[finish], "NA")</f>
        <v>NA</v>
      </c>
    </row>
    <row r="822" spans="1:6" x14ac:dyDescent="0.3">
      <c r="A822" t="s">
        <v>898</v>
      </c>
      <c r="B822" t="s">
        <v>10</v>
      </c>
      <c r="C822">
        <v>5</v>
      </c>
      <c r="D822">
        <v>2026</v>
      </c>
      <c r="E822" cm="1">
        <f t="array" ref="E822">_xlfn.XLOOKUP(Table2[[#This Row],[college]]&amp;Table2[[#This Row],[division]]&amp;Table2[[#This Row],[year]],
Teams[college]&amp;Teams[division]&amp;Teams[year],
Teams[placing], "NA")</f>
        <v>0</v>
      </c>
      <c r="F822" s="1" cm="1">
        <f t="array" ref="F822">_xlfn.XLOOKUP(Table2[[#This Row],[college]]&amp;Table2[[#This Row],[division]]&amp;Table2[[#This Row],[year]],
Teams[college]&amp;Teams[division]&amp;Teams[year],
Teams[finish], "NA")</f>
        <v>0</v>
      </c>
    </row>
    <row r="823" spans="1:6" x14ac:dyDescent="0.3">
      <c r="A823" t="s">
        <v>417</v>
      </c>
      <c r="B823" t="s">
        <v>266</v>
      </c>
      <c r="C823">
        <v>6</v>
      </c>
      <c r="D823">
        <v>2023</v>
      </c>
      <c r="E823" cm="1">
        <f t="array" ref="E823">_xlfn.XLOOKUP(Table2[[#This Row],[college]]&amp;Table2[[#This Row],[division]]&amp;Table2[[#This Row],[year]],
Teams[college]&amp;Teams[division]&amp;Teams[year],
Teams[placing], "NA")</f>
        <v>2</v>
      </c>
      <c r="F823" s="1" cm="1">
        <f t="array" ref="F823">_xlfn.XLOOKUP(Table2[[#This Row],[college]]&amp;Table2[[#This Row],[division]]&amp;Table2[[#This Row],[year]],
Teams[college]&amp;Teams[division]&amp;Teams[year],
Teams[finish], "NA")</f>
        <v>0.55763888888888891</v>
      </c>
    </row>
    <row r="824" spans="1:6" x14ac:dyDescent="0.3">
      <c r="A824" t="s">
        <v>417</v>
      </c>
      <c r="B824" t="s">
        <v>266</v>
      </c>
      <c r="C824">
        <v>4</v>
      </c>
      <c r="D824">
        <v>2024</v>
      </c>
      <c r="E824" cm="1">
        <f t="array" ref="E824">_xlfn.XLOOKUP(Table2[[#This Row],[college]]&amp;Table2[[#This Row],[division]]&amp;Table2[[#This Row],[year]],
Teams[college]&amp;Teams[division]&amp;Teams[year],
Teams[placing], "NA")</f>
        <v>2</v>
      </c>
      <c r="F824" s="1" cm="1">
        <f t="array" ref="F824">_xlfn.XLOOKUP(Table2[[#This Row],[college]]&amp;Table2[[#This Row],[division]]&amp;Table2[[#This Row],[year]],
Teams[college]&amp;Teams[division]&amp;Teams[year],
Teams[finish], "NA")</f>
        <v>0.63749999999999996</v>
      </c>
    </row>
    <row r="825" spans="1:6" x14ac:dyDescent="0.3">
      <c r="A825" t="s">
        <v>515</v>
      </c>
      <c r="B825" t="s">
        <v>10</v>
      </c>
      <c r="C825">
        <v>7</v>
      </c>
      <c r="D825">
        <v>2023</v>
      </c>
      <c r="E825" t="str" cm="1">
        <f t="array" ref="E825">_xlfn.XLOOKUP(Table2[[#This Row],[college]]&amp;Table2[[#This Row],[division]]&amp;Table2[[#This Row],[year]],
Teams[college]&amp;Teams[division]&amp;Teams[year],
Teams[placing], "NA")</f>
        <v>DNF</v>
      </c>
      <c r="F825" s="1" t="str" cm="1">
        <f t="array" ref="F825">_xlfn.XLOOKUP(Table2[[#This Row],[college]]&amp;Table2[[#This Row],[division]]&amp;Table2[[#This Row],[year]],
Teams[college]&amp;Teams[division]&amp;Teams[year],
Teams[finish], "NA")</f>
        <v>NA</v>
      </c>
    </row>
    <row r="826" spans="1:6" x14ac:dyDescent="0.3">
      <c r="A826" t="s">
        <v>505</v>
      </c>
      <c r="B826" t="s">
        <v>123</v>
      </c>
      <c r="C826">
        <v>5</v>
      </c>
      <c r="D826">
        <v>2024</v>
      </c>
      <c r="E826" cm="1">
        <f t="array" ref="E826">_xlfn.XLOOKUP(Table2[[#This Row],[college]]&amp;Table2[[#This Row],[division]]&amp;Table2[[#This Row],[year]],
Teams[college]&amp;Teams[division]&amp;Teams[year],
Teams[placing], "NA")</f>
        <v>1</v>
      </c>
      <c r="F826" s="1" cm="1">
        <f t="array" ref="F826">_xlfn.XLOOKUP(Table2[[#This Row],[college]]&amp;Table2[[#This Row],[division]]&amp;Table2[[#This Row],[year]],
Teams[college]&amp;Teams[division]&amp;Teams[year],
Teams[finish], "NA")</f>
        <v>0.53888888888888886</v>
      </c>
    </row>
    <row r="827" spans="1:6" x14ac:dyDescent="0.3">
      <c r="A827" t="s">
        <v>240</v>
      </c>
      <c r="B827" t="s">
        <v>241</v>
      </c>
      <c r="C827">
        <v>7</v>
      </c>
      <c r="D827">
        <v>2023</v>
      </c>
      <c r="E827" cm="1">
        <f t="array" ref="E827">_xlfn.XLOOKUP(Table2[[#This Row],[college]]&amp;Table2[[#This Row],[division]]&amp;Table2[[#This Row],[year]],
Teams[college]&amp;Teams[division]&amp;Teams[year],
Teams[placing], "NA")</f>
        <v>2</v>
      </c>
      <c r="F827" s="1" cm="1">
        <f t="array" ref="F827">_xlfn.XLOOKUP(Table2[[#This Row],[college]]&amp;Table2[[#This Row],[division]]&amp;Table2[[#This Row],[year]],
Teams[college]&amp;Teams[division]&amp;Teams[year],
Teams[finish], "NA")</f>
        <v>0.51597222222222228</v>
      </c>
    </row>
    <row r="828" spans="1:6" x14ac:dyDescent="0.3">
      <c r="A828" t="s">
        <v>240</v>
      </c>
      <c r="B828" t="s">
        <v>241</v>
      </c>
      <c r="C828">
        <v>4</v>
      </c>
      <c r="D828">
        <v>2025</v>
      </c>
      <c r="E828" cm="1">
        <f t="array" ref="E828">_xlfn.XLOOKUP(Table2[[#This Row],[college]]&amp;Table2[[#This Row],[division]]&amp;Table2[[#This Row],[year]],
Teams[college]&amp;Teams[division]&amp;Teams[year],
Teams[placing], "NA")</f>
        <v>4</v>
      </c>
      <c r="F828" s="1" cm="1">
        <f t="array" ref="F828">_xlfn.XLOOKUP(Table2[[#This Row],[college]]&amp;Table2[[#This Row],[division]]&amp;Table2[[#This Row],[year]],
Teams[college]&amp;Teams[division]&amp;Teams[year],
Teams[finish], "NA")</f>
        <v>0.59652777777777777</v>
      </c>
    </row>
    <row r="829" spans="1:6" x14ac:dyDescent="0.3">
      <c r="A829" t="s">
        <v>240</v>
      </c>
      <c r="B829" t="s">
        <v>241</v>
      </c>
      <c r="C829">
        <v>6</v>
      </c>
      <c r="D829">
        <v>2024</v>
      </c>
      <c r="E829" t="str" cm="1">
        <f t="array" ref="E829">_xlfn.XLOOKUP(Table2[[#This Row],[college]]&amp;Table2[[#This Row],[division]]&amp;Table2[[#This Row],[year]],
Teams[college]&amp;Teams[division]&amp;Teams[year],
Teams[placing], "NA")</f>
        <v>DNF</v>
      </c>
      <c r="F829" s="1" t="str" cm="1">
        <f t="array" ref="F829">_xlfn.XLOOKUP(Table2[[#This Row],[college]]&amp;Table2[[#This Row],[division]]&amp;Table2[[#This Row],[year]],
Teams[college]&amp;Teams[division]&amp;Teams[year],
Teams[finish], "NA")</f>
        <v>NA</v>
      </c>
    </row>
    <row r="830" spans="1:6" x14ac:dyDescent="0.3">
      <c r="A830" t="s">
        <v>146</v>
      </c>
      <c r="B830" t="s">
        <v>132</v>
      </c>
      <c r="C830">
        <v>3</v>
      </c>
      <c r="D830">
        <v>2025</v>
      </c>
      <c r="E830" cm="1">
        <f t="array" ref="E830">_xlfn.XLOOKUP(Table2[[#This Row],[college]]&amp;Table2[[#This Row],[division]]&amp;Table2[[#This Row],[year]],
Teams[college]&amp;Teams[division]&amp;Teams[year],
Teams[placing], "NA")</f>
        <v>4</v>
      </c>
      <c r="F830" s="1" cm="1">
        <f t="array" ref="F830">_xlfn.XLOOKUP(Table2[[#This Row],[college]]&amp;Table2[[#This Row],[division]]&amp;Table2[[#This Row],[year]],
Teams[college]&amp;Teams[division]&amp;Teams[year],
Teams[finish], "NA")</f>
        <v>0.53541666666666665</v>
      </c>
    </row>
    <row r="831" spans="1:6" x14ac:dyDescent="0.3">
      <c r="A831" t="s">
        <v>367</v>
      </c>
      <c r="B831" t="s">
        <v>132</v>
      </c>
      <c r="C831">
        <v>7</v>
      </c>
      <c r="D831">
        <v>2023</v>
      </c>
      <c r="E831" cm="1">
        <f t="array" ref="E831">_xlfn.XLOOKUP(Table2[[#This Row],[college]]&amp;Table2[[#This Row],[division]]&amp;Table2[[#This Row],[year]],
Teams[college]&amp;Teams[division]&amp;Teams[year],
Teams[placing], "NA")</f>
        <v>8</v>
      </c>
      <c r="F831" s="1" cm="1">
        <f t="array" ref="F831">_xlfn.XLOOKUP(Table2[[#This Row],[college]]&amp;Table2[[#This Row],[division]]&amp;Table2[[#This Row],[year]],
Teams[college]&amp;Teams[division]&amp;Teams[year],
Teams[finish], "NA")</f>
        <v>0.6</v>
      </c>
    </row>
    <row r="832" spans="1:6" x14ac:dyDescent="0.3">
      <c r="A832" t="s">
        <v>367</v>
      </c>
      <c r="B832" t="s">
        <v>132</v>
      </c>
      <c r="C832">
        <v>7</v>
      </c>
      <c r="D832">
        <v>2024</v>
      </c>
      <c r="E832" cm="1">
        <f t="array" ref="E832">_xlfn.XLOOKUP(Table2[[#This Row],[college]]&amp;Table2[[#This Row],[division]]&amp;Table2[[#This Row],[year]],
Teams[college]&amp;Teams[division]&amp;Teams[year],
Teams[placing], "NA")</f>
        <v>3</v>
      </c>
      <c r="F832" s="1" cm="1">
        <f t="array" ref="F832">_xlfn.XLOOKUP(Table2[[#This Row],[college]]&amp;Table2[[#This Row],[division]]&amp;Table2[[#This Row],[year]],
Teams[college]&amp;Teams[division]&amp;Teams[year],
Teams[finish], "NA")</f>
        <v>0.64166666666666672</v>
      </c>
    </row>
    <row r="833" spans="1:6" x14ac:dyDescent="0.3">
      <c r="A833" t="s">
        <v>175</v>
      </c>
      <c r="B833" t="s">
        <v>132</v>
      </c>
      <c r="C833">
        <v>5</v>
      </c>
      <c r="D833">
        <v>2025</v>
      </c>
      <c r="E833" cm="1">
        <f t="array" ref="E833">_xlfn.XLOOKUP(Table2[[#This Row],[college]]&amp;Table2[[#This Row],[division]]&amp;Table2[[#This Row],[year]],
Teams[college]&amp;Teams[division]&amp;Teams[year],
Teams[placing], "NA")</f>
        <v>7</v>
      </c>
      <c r="F833" s="1" cm="1">
        <f t="array" ref="F833">_xlfn.XLOOKUP(Table2[[#This Row],[college]]&amp;Table2[[#This Row],[division]]&amp;Table2[[#This Row],[year]],
Teams[college]&amp;Teams[division]&amp;Teams[year],
Teams[finish], "NA")</f>
        <v>0.52638888888888891</v>
      </c>
    </row>
    <row r="834" spans="1:6" x14ac:dyDescent="0.3">
      <c r="A834" t="s">
        <v>175</v>
      </c>
      <c r="B834" t="s">
        <v>132</v>
      </c>
      <c r="C834">
        <v>4</v>
      </c>
      <c r="D834">
        <v>2024</v>
      </c>
      <c r="E834" cm="1">
        <f t="array" ref="E834">_xlfn.XLOOKUP(Table2[[#This Row],[college]]&amp;Table2[[#This Row],[division]]&amp;Table2[[#This Row],[year]],
Teams[college]&amp;Teams[division]&amp;Teams[year],
Teams[placing], "NA")</f>
        <v>4</v>
      </c>
      <c r="F834" s="1" cm="1">
        <f t="array" ref="F834">_xlfn.XLOOKUP(Table2[[#This Row],[college]]&amp;Table2[[#This Row],[division]]&amp;Table2[[#This Row],[year]],
Teams[college]&amp;Teams[division]&amp;Teams[year],
Teams[finish], "NA")</f>
        <v>0.65277777777777779</v>
      </c>
    </row>
    <row r="835" spans="1:6" x14ac:dyDescent="0.3">
      <c r="A835" t="s">
        <v>175</v>
      </c>
      <c r="B835" t="s">
        <v>132</v>
      </c>
      <c r="C835">
        <v>5</v>
      </c>
      <c r="D835">
        <v>2026</v>
      </c>
      <c r="E835" cm="1">
        <f t="array" ref="E835">_xlfn.XLOOKUP(Table2[[#This Row],[college]]&amp;Table2[[#This Row],[division]]&amp;Table2[[#This Row],[year]],
Teams[college]&amp;Teams[division]&amp;Teams[year],
Teams[placing], "NA")</f>
        <v>0</v>
      </c>
      <c r="F835" s="1" cm="1">
        <f t="array" ref="F835">_xlfn.XLOOKUP(Table2[[#This Row],[college]]&amp;Table2[[#This Row],[division]]&amp;Table2[[#This Row],[year]],
Teams[college]&amp;Teams[division]&amp;Teams[year],
Teams[finish], "NA")</f>
        <v>0</v>
      </c>
    </row>
    <row r="836" spans="1:6" x14ac:dyDescent="0.3">
      <c r="A836" t="s">
        <v>768</v>
      </c>
      <c r="B836" t="s">
        <v>123</v>
      </c>
      <c r="C836">
        <v>4</v>
      </c>
      <c r="D836">
        <v>2026</v>
      </c>
      <c r="E836" cm="1">
        <f t="array" ref="E836">_xlfn.XLOOKUP(Table2[[#This Row],[college]]&amp;Table2[[#This Row],[division]]&amp;Table2[[#This Row],[year]],
Teams[college]&amp;Teams[division]&amp;Teams[year],
Teams[placing], "NA")</f>
        <v>0</v>
      </c>
      <c r="F836" s="1" cm="1">
        <f t="array" ref="F836">_xlfn.XLOOKUP(Table2[[#This Row],[college]]&amp;Table2[[#This Row],[division]]&amp;Table2[[#This Row],[year]],
Teams[college]&amp;Teams[division]&amp;Teams[year],
Teams[finish], "NA")</f>
        <v>0</v>
      </c>
    </row>
    <row r="837" spans="1:6" x14ac:dyDescent="0.3">
      <c r="A837" t="s">
        <v>57</v>
      </c>
      <c r="B837" t="s">
        <v>754</v>
      </c>
      <c r="C837">
        <v>5</v>
      </c>
      <c r="D837">
        <v>2025</v>
      </c>
      <c r="E837" t="str" cm="1">
        <f t="array" ref="E837">_xlfn.XLOOKUP(Table2[[#This Row],[college]]&amp;Table2[[#This Row],[division]]&amp;Table2[[#This Row],[year]],
Teams[college]&amp;Teams[division]&amp;Teams[year],
Teams[placing], "NA")</f>
        <v>NA</v>
      </c>
      <c r="F837" s="1" cm="1">
        <f t="array" ref="F837">_xlfn.XLOOKUP(Table2[[#This Row],[college]]&amp;Table2[[#This Row],[division]]&amp;Table2[[#This Row],[year]],
Teams[college]&amp;Teams[division]&amp;Teams[year],
Teams[finish], "NA")</f>
        <v>0.4597222222222222</v>
      </c>
    </row>
    <row r="838" spans="1:6" x14ac:dyDescent="0.3">
      <c r="A838" t="s">
        <v>57</v>
      </c>
      <c r="B838" t="s">
        <v>132</v>
      </c>
      <c r="C838">
        <v>2</v>
      </c>
      <c r="D838">
        <v>2024</v>
      </c>
      <c r="E838" cm="1">
        <f t="array" ref="E838">_xlfn.XLOOKUP(Table2[[#This Row],[college]]&amp;Table2[[#This Row],[division]]&amp;Table2[[#This Row],[year]],
Teams[college]&amp;Teams[division]&amp;Teams[year],
Teams[placing], "NA")</f>
        <v>4</v>
      </c>
      <c r="F838" s="1" cm="1">
        <f t="array" ref="F838">_xlfn.XLOOKUP(Table2[[#This Row],[college]]&amp;Table2[[#This Row],[division]]&amp;Table2[[#This Row],[year]],
Teams[college]&amp;Teams[division]&amp;Teams[year],
Teams[finish], "NA")</f>
        <v>0.5444444444444444</v>
      </c>
    </row>
    <row r="839" spans="1:6" x14ac:dyDescent="0.3">
      <c r="A839" t="s">
        <v>57</v>
      </c>
      <c r="B839" t="s">
        <v>132</v>
      </c>
      <c r="C839">
        <v>4</v>
      </c>
      <c r="D839">
        <v>2023</v>
      </c>
      <c r="E839" t="str" cm="1">
        <f t="array" ref="E839">_xlfn.XLOOKUP(Table2[[#This Row],[college]]&amp;Table2[[#This Row],[division]]&amp;Table2[[#This Row],[year]],
Teams[college]&amp;Teams[division]&amp;Teams[year],
Teams[placing], "NA")</f>
        <v>DNF</v>
      </c>
      <c r="F839" s="1" t="str" cm="1">
        <f t="array" ref="F839">_xlfn.XLOOKUP(Table2[[#This Row],[college]]&amp;Table2[[#This Row],[division]]&amp;Table2[[#This Row],[year]],
Teams[college]&amp;Teams[division]&amp;Teams[year],
Teams[finish], "NA")</f>
        <v>NA</v>
      </c>
    </row>
    <row r="840" spans="1:6" x14ac:dyDescent="0.3">
      <c r="A840" t="s">
        <v>973</v>
      </c>
      <c r="B840" t="s">
        <v>266</v>
      </c>
      <c r="C840">
        <v>7</v>
      </c>
      <c r="D840">
        <v>2026</v>
      </c>
      <c r="E840" cm="1">
        <f t="array" ref="E840">_xlfn.XLOOKUP(Table2[[#This Row],[college]]&amp;Table2[[#This Row],[division]]&amp;Table2[[#This Row],[year]],
Teams[college]&amp;Teams[division]&amp;Teams[year],
Teams[placing], "NA")</f>
        <v>0</v>
      </c>
      <c r="F840" s="1" cm="1">
        <f t="array" ref="F840">_xlfn.XLOOKUP(Table2[[#This Row],[college]]&amp;Table2[[#This Row],[division]]&amp;Table2[[#This Row],[year]],
Teams[college]&amp;Teams[division]&amp;Teams[year],
Teams[finish], "NA")</f>
        <v>0</v>
      </c>
    </row>
    <row r="841" spans="1:6" x14ac:dyDescent="0.3">
      <c r="A841" t="s">
        <v>316</v>
      </c>
      <c r="B841" t="s">
        <v>241</v>
      </c>
      <c r="C841">
        <v>3</v>
      </c>
      <c r="D841">
        <v>2025</v>
      </c>
      <c r="E841" cm="1">
        <f t="array" ref="E841">_xlfn.XLOOKUP(Table2[[#This Row],[college]]&amp;Table2[[#This Row],[division]]&amp;Table2[[#This Row],[year]],
Teams[college]&amp;Teams[division]&amp;Teams[year],
Teams[placing], "NA")</f>
        <v>6</v>
      </c>
      <c r="F841" s="1" cm="1">
        <f t="array" ref="F841">_xlfn.XLOOKUP(Table2[[#This Row],[college]]&amp;Table2[[#This Row],[division]]&amp;Table2[[#This Row],[year]],
Teams[college]&amp;Teams[division]&amp;Teams[year],
Teams[finish], "NA")</f>
        <v>0.60972222222222228</v>
      </c>
    </row>
    <row r="842" spans="1:6" x14ac:dyDescent="0.3">
      <c r="A842" t="s">
        <v>316</v>
      </c>
      <c r="B842" t="s">
        <v>241</v>
      </c>
      <c r="C842">
        <v>6</v>
      </c>
      <c r="D842">
        <v>2023</v>
      </c>
      <c r="E842" cm="1">
        <f t="array" ref="E842">_xlfn.XLOOKUP(Table2[[#This Row],[college]]&amp;Table2[[#This Row],[division]]&amp;Table2[[#This Row],[year]],
Teams[college]&amp;Teams[division]&amp;Teams[year],
Teams[placing], "NA")</f>
        <v>4</v>
      </c>
      <c r="F842" s="1" cm="1">
        <f t="array" ref="F842">_xlfn.XLOOKUP(Table2[[#This Row],[college]]&amp;Table2[[#This Row],[division]]&amp;Table2[[#This Row],[year]],
Teams[college]&amp;Teams[division]&amp;Teams[year],
Teams[finish], "NA")</f>
        <v>0.65833333333333333</v>
      </c>
    </row>
    <row r="843" spans="1:6" x14ac:dyDescent="0.3">
      <c r="A843" t="s">
        <v>316</v>
      </c>
      <c r="B843" t="s">
        <v>241</v>
      </c>
      <c r="C843">
        <v>4</v>
      </c>
      <c r="D843">
        <v>2024</v>
      </c>
      <c r="E843" t="str" cm="1">
        <f t="array" ref="E843">_xlfn.XLOOKUP(Table2[[#This Row],[college]]&amp;Table2[[#This Row],[division]]&amp;Table2[[#This Row],[year]],
Teams[college]&amp;Teams[division]&amp;Teams[year],
Teams[placing], "NA")</f>
        <v>DNF</v>
      </c>
      <c r="F843" s="1" t="str" cm="1">
        <f t="array" ref="F843">_xlfn.XLOOKUP(Table2[[#This Row],[college]]&amp;Table2[[#This Row],[division]]&amp;Table2[[#This Row],[year]],
Teams[college]&amp;Teams[division]&amp;Teams[year],
Teams[finish], "NA")</f>
        <v>NA</v>
      </c>
    </row>
    <row r="844" spans="1:6" x14ac:dyDescent="0.3">
      <c r="A844" t="s">
        <v>926</v>
      </c>
      <c r="B844" t="s">
        <v>766</v>
      </c>
      <c r="C844">
        <v>6</v>
      </c>
      <c r="D844">
        <v>2026</v>
      </c>
      <c r="E844" cm="1">
        <f t="array" ref="E844">_xlfn.XLOOKUP(Table2[[#This Row],[college]]&amp;Table2[[#This Row],[division]]&amp;Table2[[#This Row],[year]],
Teams[college]&amp;Teams[division]&amp;Teams[year],
Teams[placing], "NA")</f>
        <v>0</v>
      </c>
      <c r="F844" s="1" cm="1">
        <f t="array" ref="F844">_xlfn.XLOOKUP(Table2[[#This Row],[college]]&amp;Table2[[#This Row],[division]]&amp;Table2[[#This Row],[year]],
Teams[college]&amp;Teams[division]&amp;Teams[year],
Teams[finish], "NA")</f>
        <v>0</v>
      </c>
    </row>
    <row r="845" spans="1:6" x14ac:dyDescent="0.3">
      <c r="A845" t="s">
        <v>991</v>
      </c>
      <c r="B845" t="s">
        <v>5</v>
      </c>
      <c r="C845">
        <v>5</v>
      </c>
      <c r="D845">
        <v>2026</v>
      </c>
      <c r="E845" cm="1">
        <f t="array" ref="E845">_xlfn.XLOOKUP(Table2[[#This Row],[college]]&amp;Table2[[#This Row],[division]]&amp;Table2[[#This Row],[year]],
Teams[college]&amp;Teams[division]&amp;Teams[year],
Teams[placing], "NA")</f>
        <v>0</v>
      </c>
      <c r="F845" s="1" cm="1">
        <f t="array" ref="F845">_xlfn.XLOOKUP(Table2[[#This Row],[college]]&amp;Table2[[#This Row],[division]]&amp;Table2[[#This Row],[year]],
Teams[college]&amp;Teams[division]&amp;Teams[year],
Teams[finish], "NA")</f>
        <v>0</v>
      </c>
    </row>
    <row r="846" spans="1:6" x14ac:dyDescent="0.3">
      <c r="A846" t="s">
        <v>408</v>
      </c>
      <c r="B846" t="s">
        <v>10</v>
      </c>
      <c r="C846">
        <v>3</v>
      </c>
      <c r="D846">
        <v>2022</v>
      </c>
      <c r="E846" cm="1">
        <f t="array" ref="E846">_xlfn.XLOOKUP(Table2[[#This Row],[college]]&amp;Table2[[#This Row],[division]]&amp;Table2[[#This Row],[year]],
Teams[college]&amp;Teams[division]&amp;Teams[year],
Teams[placing], "NA")</f>
        <v>3</v>
      </c>
      <c r="F846" s="1" cm="1">
        <f t="array" ref="F846">_xlfn.XLOOKUP(Table2[[#This Row],[college]]&amp;Table2[[#This Row],[division]]&amp;Table2[[#This Row],[year]],
Teams[college]&amp;Teams[division]&amp;Teams[year],
Teams[finish], "NA")</f>
        <v>0.48402777777777778</v>
      </c>
    </row>
    <row r="847" spans="1:6" x14ac:dyDescent="0.3">
      <c r="A847" t="s">
        <v>408</v>
      </c>
      <c r="B847" t="s">
        <v>10</v>
      </c>
      <c r="C847">
        <v>2</v>
      </c>
      <c r="D847">
        <v>2024</v>
      </c>
      <c r="E847" cm="1">
        <f t="array" ref="E847">_xlfn.XLOOKUP(Table2[[#This Row],[college]]&amp;Table2[[#This Row],[division]]&amp;Table2[[#This Row],[year]],
Teams[college]&amp;Teams[division]&amp;Teams[year],
Teams[placing], "NA")</f>
        <v>5</v>
      </c>
      <c r="F847" s="1" cm="1">
        <f t="array" ref="F847">_xlfn.XLOOKUP(Table2[[#This Row],[college]]&amp;Table2[[#This Row],[division]]&amp;Table2[[#This Row],[year]],
Teams[college]&amp;Teams[division]&amp;Teams[year],
Teams[finish], "NA")</f>
        <v>0.57916666666666672</v>
      </c>
    </row>
    <row r="848" spans="1:6" x14ac:dyDescent="0.3">
      <c r="A848" t="s">
        <v>408</v>
      </c>
      <c r="B848" t="s">
        <v>10</v>
      </c>
      <c r="C848">
        <v>1</v>
      </c>
      <c r="D848">
        <v>2023</v>
      </c>
      <c r="E848" t="str" cm="1">
        <f t="array" ref="E848">_xlfn.XLOOKUP(Table2[[#This Row],[college]]&amp;Table2[[#This Row],[division]]&amp;Table2[[#This Row],[year]],
Teams[college]&amp;Teams[division]&amp;Teams[year],
Teams[placing], "NA")</f>
        <v>DNF</v>
      </c>
      <c r="F848" s="1" t="str" cm="1">
        <f t="array" ref="F848">_xlfn.XLOOKUP(Table2[[#This Row],[college]]&amp;Table2[[#This Row],[division]]&amp;Table2[[#This Row],[year]],
Teams[college]&amp;Teams[division]&amp;Teams[year],
Teams[finish], "NA")</f>
        <v>NA</v>
      </c>
    </row>
    <row r="849" spans="1:6" x14ac:dyDescent="0.3">
      <c r="A849" t="s">
        <v>700</v>
      </c>
      <c r="B849" t="s">
        <v>10</v>
      </c>
      <c r="C849">
        <v>5</v>
      </c>
      <c r="D849">
        <v>2022</v>
      </c>
      <c r="E849" cm="1">
        <f t="array" ref="E849">_xlfn.XLOOKUP(Table2[[#This Row],[college]]&amp;Table2[[#This Row],[division]]&amp;Table2[[#This Row],[year]],
Teams[college]&amp;Teams[division]&amp;Teams[year],
Teams[placing], "NA")</f>
        <v>5</v>
      </c>
      <c r="F849" s="1" cm="1">
        <f t="array" ref="F849">_xlfn.XLOOKUP(Table2[[#This Row],[college]]&amp;Table2[[#This Row],[division]]&amp;Table2[[#This Row],[year]],
Teams[college]&amp;Teams[division]&amp;Teams[year],
Teams[finish], "NA")</f>
        <v>0.53333333333333333</v>
      </c>
    </row>
    <row r="850" spans="1:6" x14ac:dyDescent="0.3">
      <c r="A850" t="s">
        <v>102</v>
      </c>
      <c r="B850" t="s">
        <v>754</v>
      </c>
      <c r="C850">
        <v>2</v>
      </c>
      <c r="D850">
        <v>2025</v>
      </c>
      <c r="E850" t="str" cm="1">
        <f t="array" ref="E850">_xlfn.XLOOKUP(Table2[[#This Row],[college]]&amp;Table2[[#This Row],[division]]&amp;Table2[[#This Row],[year]],
Teams[college]&amp;Teams[division]&amp;Teams[year],
Teams[placing], "NA")</f>
        <v>NA</v>
      </c>
      <c r="F850" s="1" cm="1">
        <f t="array" ref="F850">_xlfn.XLOOKUP(Table2[[#This Row],[college]]&amp;Table2[[#This Row],[division]]&amp;Table2[[#This Row],[year]],
Teams[college]&amp;Teams[division]&amp;Teams[year],
Teams[finish], "NA")</f>
        <v>0.4861111111111111</v>
      </c>
    </row>
    <row r="851" spans="1:6" x14ac:dyDescent="0.3">
      <c r="A851" t="s">
        <v>781</v>
      </c>
      <c r="B851" t="s">
        <v>123</v>
      </c>
      <c r="C851">
        <v>3</v>
      </c>
      <c r="D851">
        <v>2026</v>
      </c>
      <c r="E851" cm="1">
        <f t="array" ref="E851">_xlfn.XLOOKUP(Table2[[#This Row],[college]]&amp;Table2[[#This Row],[division]]&amp;Table2[[#This Row],[year]],
Teams[college]&amp;Teams[division]&amp;Teams[year],
Teams[placing], "NA")</f>
        <v>0</v>
      </c>
      <c r="F851" s="1" cm="1">
        <f t="array" ref="F851">_xlfn.XLOOKUP(Table2[[#This Row],[college]]&amp;Table2[[#This Row],[division]]&amp;Table2[[#This Row],[year]],
Teams[college]&amp;Teams[division]&amp;Teams[year],
Teams[finish], "NA")</f>
        <v>0</v>
      </c>
    </row>
    <row r="852" spans="1:6" x14ac:dyDescent="0.3">
      <c r="A852" t="s">
        <v>30</v>
      </c>
      <c r="B852" t="s">
        <v>19</v>
      </c>
      <c r="C852">
        <v>6</v>
      </c>
      <c r="D852">
        <v>2025</v>
      </c>
      <c r="E852" cm="1">
        <f t="array" ref="E852">_xlfn.XLOOKUP(Table2[[#This Row],[college]]&amp;Table2[[#This Row],[division]]&amp;Table2[[#This Row],[year]],
Teams[college]&amp;Teams[division]&amp;Teams[year],
Teams[placing], "NA")</f>
        <v>4</v>
      </c>
      <c r="F852" s="1" cm="1">
        <f t="array" ref="F852">_xlfn.XLOOKUP(Table2[[#This Row],[college]]&amp;Table2[[#This Row],[division]]&amp;Table2[[#This Row],[year]],
Teams[college]&amp;Teams[division]&amp;Teams[year],
Teams[finish], "NA")</f>
        <v>0.54861111111111116</v>
      </c>
    </row>
    <row r="853" spans="1:6" x14ac:dyDescent="0.3">
      <c r="A853" t="s">
        <v>30</v>
      </c>
      <c r="B853" t="s">
        <v>19</v>
      </c>
      <c r="C853">
        <v>2</v>
      </c>
      <c r="D853">
        <v>2026</v>
      </c>
      <c r="E853" cm="1">
        <f t="array" ref="E853">_xlfn.XLOOKUP(Table2[[#This Row],[college]]&amp;Table2[[#This Row],[division]]&amp;Table2[[#This Row],[year]],
Teams[college]&amp;Teams[division]&amp;Teams[year],
Teams[placing], "NA")</f>
        <v>0</v>
      </c>
      <c r="F853" s="1" cm="1">
        <f t="array" ref="F853">_xlfn.XLOOKUP(Table2[[#This Row],[college]]&amp;Table2[[#This Row],[division]]&amp;Table2[[#This Row],[year]],
Teams[college]&amp;Teams[division]&amp;Teams[year],
Teams[finish], "NA")</f>
        <v>0</v>
      </c>
    </row>
    <row r="854" spans="1:6" x14ac:dyDescent="0.3">
      <c r="A854" t="s">
        <v>829</v>
      </c>
      <c r="B854" t="s">
        <v>15</v>
      </c>
      <c r="C854">
        <v>3</v>
      </c>
      <c r="D854">
        <v>2026</v>
      </c>
      <c r="E854" cm="1">
        <f t="array" ref="E854">_xlfn.XLOOKUP(Table2[[#This Row],[college]]&amp;Table2[[#This Row],[division]]&amp;Table2[[#This Row],[year]],
Teams[college]&amp;Teams[division]&amp;Teams[year],
Teams[placing], "NA")</f>
        <v>0</v>
      </c>
      <c r="F854" s="1" cm="1">
        <f t="array" ref="F854">_xlfn.XLOOKUP(Table2[[#This Row],[college]]&amp;Table2[[#This Row],[division]]&amp;Table2[[#This Row],[year]],
Teams[college]&amp;Teams[division]&amp;Teams[year],
Teams[finish], "NA")</f>
        <v>0</v>
      </c>
    </row>
    <row r="855" spans="1:6" x14ac:dyDescent="0.3">
      <c r="A855" t="s">
        <v>594</v>
      </c>
      <c r="B855" t="s">
        <v>10</v>
      </c>
      <c r="C855">
        <v>4</v>
      </c>
      <c r="D855">
        <v>2023</v>
      </c>
      <c r="E855" cm="1">
        <f t="array" ref="E855">_xlfn.XLOOKUP(Table2[[#This Row],[college]]&amp;Table2[[#This Row],[division]]&amp;Table2[[#This Row],[year]],
Teams[college]&amp;Teams[division]&amp;Teams[year],
Teams[placing], "NA")</f>
        <v>3</v>
      </c>
      <c r="F855" s="1" cm="1">
        <f t="array" ref="F855">_xlfn.XLOOKUP(Table2[[#This Row],[college]]&amp;Table2[[#This Row],[division]]&amp;Table2[[#This Row],[year]],
Teams[college]&amp;Teams[division]&amp;Teams[year],
Teams[finish], "NA")</f>
        <v>0.56944444444444442</v>
      </c>
    </row>
    <row r="856" spans="1:6" x14ac:dyDescent="0.3">
      <c r="A856" t="s">
        <v>662</v>
      </c>
      <c r="B856" t="s">
        <v>132</v>
      </c>
      <c r="C856">
        <v>7</v>
      </c>
      <c r="D856">
        <v>2022</v>
      </c>
      <c r="E856" cm="1">
        <f t="array" ref="E856">_xlfn.XLOOKUP(Table2[[#This Row],[college]]&amp;Table2[[#This Row],[division]]&amp;Table2[[#This Row],[year]],
Teams[college]&amp;Teams[division]&amp;Teams[year],
Teams[placing], "NA")</f>
        <v>2</v>
      </c>
      <c r="F856" s="1" cm="1">
        <f t="array" ref="F856">_xlfn.XLOOKUP(Table2[[#This Row],[college]]&amp;Table2[[#This Row],[division]]&amp;Table2[[#This Row],[year]],
Teams[college]&amp;Teams[division]&amp;Teams[year],
Teams[finish], "NA")</f>
        <v>0.45486111111111116</v>
      </c>
    </row>
    <row r="857" spans="1:6" x14ac:dyDescent="0.3">
      <c r="A857" t="s">
        <v>183</v>
      </c>
      <c r="B857" t="s">
        <v>132</v>
      </c>
      <c r="C857">
        <v>4</v>
      </c>
      <c r="D857">
        <v>2025</v>
      </c>
      <c r="E857" cm="1">
        <f t="array" ref="E857">_xlfn.XLOOKUP(Table2[[#This Row],[college]]&amp;Table2[[#This Row],[division]]&amp;Table2[[#This Row],[year]],
Teams[college]&amp;Teams[division]&amp;Teams[year],
Teams[placing], "NA")</f>
        <v>5</v>
      </c>
      <c r="F857" s="1" cm="1">
        <f t="array" ref="F857">_xlfn.XLOOKUP(Table2[[#This Row],[college]]&amp;Table2[[#This Row],[division]]&amp;Table2[[#This Row],[year]],
Teams[college]&amp;Teams[division]&amp;Teams[year],
Teams[finish], "NA")</f>
        <v>0.63680555555555551</v>
      </c>
    </row>
    <row r="858" spans="1:6" x14ac:dyDescent="0.3">
      <c r="A858" t="s">
        <v>347</v>
      </c>
      <c r="B858" t="s">
        <v>132</v>
      </c>
      <c r="C858">
        <v>1</v>
      </c>
      <c r="D858">
        <v>2024</v>
      </c>
      <c r="E858" cm="1">
        <f t="array" ref="E858">_xlfn.XLOOKUP(Table2[[#This Row],[college]]&amp;Table2[[#This Row],[division]]&amp;Table2[[#This Row],[year]],
Teams[college]&amp;Teams[division]&amp;Teams[year],
Teams[placing], "NA")</f>
        <v>8</v>
      </c>
      <c r="F858" s="1" cm="1">
        <f t="array" ref="F858">_xlfn.XLOOKUP(Table2[[#This Row],[college]]&amp;Table2[[#This Row],[division]]&amp;Table2[[#This Row],[year]],
Teams[college]&amp;Teams[division]&amp;Teams[year],
Teams[finish], "NA")</f>
        <v>0.69374999999999998</v>
      </c>
    </row>
    <row r="859" spans="1:6" x14ac:dyDescent="0.3">
      <c r="A859" t="s">
        <v>347</v>
      </c>
      <c r="B859" t="s">
        <v>132</v>
      </c>
      <c r="C859">
        <v>1</v>
      </c>
      <c r="D859">
        <v>2023</v>
      </c>
      <c r="E859" t="str" cm="1">
        <f t="array" ref="E859">_xlfn.XLOOKUP(Table2[[#This Row],[college]]&amp;Table2[[#This Row],[division]]&amp;Table2[[#This Row],[year]],
Teams[college]&amp;Teams[division]&amp;Teams[year],
Teams[placing], "NA")</f>
        <v>DNF</v>
      </c>
      <c r="F859" s="1" t="str" cm="1">
        <f t="array" ref="F859">_xlfn.XLOOKUP(Table2[[#This Row],[college]]&amp;Table2[[#This Row],[division]]&amp;Table2[[#This Row],[year]],
Teams[college]&amp;Teams[division]&amp;Teams[year],
Teams[finish], "NA")</f>
        <v>NA</v>
      </c>
    </row>
    <row r="860" spans="1:6" x14ac:dyDescent="0.3">
      <c r="A860" t="s">
        <v>21</v>
      </c>
      <c r="B860" t="s">
        <v>19</v>
      </c>
      <c r="C860">
        <v>3</v>
      </c>
      <c r="D860">
        <v>2025</v>
      </c>
      <c r="E860" cm="1">
        <f t="array" ref="E860">_xlfn.XLOOKUP(Table2[[#This Row],[college]]&amp;Table2[[#This Row],[division]]&amp;Table2[[#This Row],[year]],
Teams[college]&amp;Teams[division]&amp;Teams[year],
Teams[placing], "NA")</f>
        <v>5</v>
      </c>
      <c r="F860" s="1" cm="1">
        <f t="array" ref="F860">_xlfn.XLOOKUP(Table2[[#This Row],[college]]&amp;Table2[[#This Row],[division]]&amp;Table2[[#This Row],[year]],
Teams[college]&amp;Teams[division]&amp;Teams[year],
Teams[finish], "NA")</f>
        <v>0.5708333333333333</v>
      </c>
    </row>
    <row r="861" spans="1:6" x14ac:dyDescent="0.3">
      <c r="A861" t="s">
        <v>21</v>
      </c>
      <c r="B861" t="s">
        <v>19</v>
      </c>
      <c r="C861">
        <v>4</v>
      </c>
      <c r="D861">
        <v>2026</v>
      </c>
      <c r="E861" cm="1">
        <f t="array" ref="E861">_xlfn.XLOOKUP(Table2[[#This Row],[college]]&amp;Table2[[#This Row],[division]]&amp;Table2[[#This Row],[year]],
Teams[college]&amp;Teams[division]&amp;Teams[year],
Teams[placing], "NA")</f>
        <v>0</v>
      </c>
      <c r="F861" s="1" cm="1">
        <f t="array" ref="F861">_xlfn.XLOOKUP(Table2[[#This Row],[college]]&amp;Table2[[#This Row],[division]]&amp;Table2[[#This Row],[year]],
Teams[college]&amp;Teams[division]&amp;Teams[year],
Teams[finish], "NA")</f>
        <v>0</v>
      </c>
    </row>
    <row r="862" spans="1:6" x14ac:dyDescent="0.3">
      <c r="A862" t="s">
        <v>584</v>
      </c>
      <c r="B862" t="s">
        <v>241</v>
      </c>
      <c r="C862">
        <v>5</v>
      </c>
      <c r="D862">
        <v>2023</v>
      </c>
      <c r="E862" cm="1">
        <f t="array" ref="E862">_xlfn.XLOOKUP(Table2[[#This Row],[college]]&amp;Table2[[#This Row],[division]]&amp;Table2[[#This Row],[year]],
Teams[college]&amp;Teams[division]&amp;Teams[year],
Teams[placing], "NA")</f>
        <v>3</v>
      </c>
      <c r="F862" s="1" cm="1">
        <f t="array" ref="F862">_xlfn.XLOOKUP(Table2[[#This Row],[college]]&amp;Table2[[#This Row],[division]]&amp;Table2[[#This Row],[year]],
Teams[college]&amp;Teams[division]&amp;Teams[year],
Teams[finish], "NA")</f>
        <v>0.61805555555555558</v>
      </c>
    </row>
    <row r="863" spans="1:6" x14ac:dyDescent="0.3">
      <c r="A863" t="s">
        <v>165</v>
      </c>
      <c r="B863" t="s">
        <v>137</v>
      </c>
      <c r="C863">
        <v>5</v>
      </c>
      <c r="D863">
        <v>2025</v>
      </c>
      <c r="E863" cm="1">
        <f t="array" ref="E863">_xlfn.XLOOKUP(Table2[[#This Row],[college]]&amp;Table2[[#This Row],[division]]&amp;Table2[[#This Row],[year]],
Teams[college]&amp;Teams[division]&amp;Teams[year],
Teams[placing], "NA")</f>
        <v>5</v>
      </c>
      <c r="F863" s="1" cm="1">
        <f t="array" ref="F863">_xlfn.XLOOKUP(Table2[[#This Row],[college]]&amp;Table2[[#This Row],[division]]&amp;Table2[[#This Row],[year]],
Teams[college]&amp;Teams[division]&amp;Teams[year],
Teams[finish], "NA")</f>
        <v>0.47847222222222224</v>
      </c>
    </row>
    <row r="864" spans="1:6" x14ac:dyDescent="0.3">
      <c r="A864" t="s">
        <v>165</v>
      </c>
      <c r="B864" t="s">
        <v>787</v>
      </c>
      <c r="C864">
        <v>3</v>
      </c>
      <c r="D864">
        <v>2026</v>
      </c>
      <c r="E864" t="str" cm="1">
        <f t="array" ref="E864">_xlfn.XLOOKUP(Table2[[#This Row],[college]]&amp;Table2[[#This Row],[division]]&amp;Table2[[#This Row],[year]],
Teams[college]&amp;Teams[division]&amp;Teams[year],
Teams[placing], "NA")</f>
        <v>NA</v>
      </c>
      <c r="F864" s="1" t="str" cm="1">
        <f t="array" ref="F864">_xlfn.XLOOKUP(Table2[[#This Row],[college]]&amp;Table2[[#This Row],[division]]&amp;Table2[[#This Row],[year]],
Teams[college]&amp;Teams[division]&amp;Teams[year],
Teams[finish], "NA")</f>
        <v>NA</v>
      </c>
    </row>
    <row r="865" spans="1:6" x14ac:dyDescent="0.3">
      <c r="A865" t="s">
        <v>16</v>
      </c>
      <c r="B865" t="s">
        <v>15</v>
      </c>
      <c r="C865">
        <v>6</v>
      </c>
      <c r="D865">
        <v>2025</v>
      </c>
      <c r="E865" t="str" cm="1">
        <f t="array" ref="E865">_xlfn.XLOOKUP(Table2[[#This Row],[college]]&amp;Table2[[#This Row],[division]]&amp;Table2[[#This Row],[year]],
Teams[college]&amp;Teams[division]&amp;Teams[year],
Teams[placing], "NA")</f>
        <v>DNF</v>
      </c>
      <c r="F865" s="1" t="str" cm="1">
        <f t="array" ref="F865">_xlfn.XLOOKUP(Table2[[#This Row],[college]]&amp;Table2[[#This Row],[division]]&amp;Table2[[#This Row],[year]],
Teams[college]&amp;Teams[division]&amp;Teams[year],
Teams[finish], "NA")</f>
        <v>NA</v>
      </c>
    </row>
    <row r="866" spans="1:6" x14ac:dyDescent="0.3">
      <c r="A866" t="s">
        <v>680</v>
      </c>
      <c r="B866" t="s">
        <v>250</v>
      </c>
      <c r="C866">
        <v>6</v>
      </c>
      <c r="D866">
        <v>2022</v>
      </c>
      <c r="E866" cm="1">
        <f t="array" ref="E866">_xlfn.XLOOKUP(Table2[[#This Row],[college]]&amp;Table2[[#This Row],[division]]&amp;Table2[[#This Row],[year]],
Teams[college]&amp;Teams[division]&amp;Teams[year],
Teams[placing], "NA")</f>
        <v>5</v>
      </c>
      <c r="F866" s="1" cm="1">
        <f t="array" ref="F866">_xlfn.XLOOKUP(Table2[[#This Row],[college]]&amp;Table2[[#This Row],[division]]&amp;Table2[[#This Row],[year]],
Teams[college]&amp;Teams[division]&amp;Teams[year],
Teams[finish], "NA")</f>
        <v>0.52847222222222223</v>
      </c>
    </row>
    <row r="867" spans="1:6" x14ac:dyDescent="0.3">
      <c r="A867" t="s">
        <v>808</v>
      </c>
      <c r="B867" t="s">
        <v>15</v>
      </c>
      <c r="C867">
        <v>2</v>
      </c>
      <c r="D867">
        <v>2026</v>
      </c>
      <c r="E867" cm="1">
        <f t="array" ref="E867">_xlfn.XLOOKUP(Table2[[#This Row],[college]]&amp;Table2[[#This Row],[division]]&amp;Table2[[#This Row],[year]],
Teams[college]&amp;Teams[division]&amp;Teams[year],
Teams[placing], "NA")</f>
        <v>0</v>
      </c>
      <c r="F867" s="1" cm="1">
        <f t="array" ref="F867">_xlfn.XLOOKUP(Table2[[#This Row],[college]]&amp;Table2[[#This Row],[division]]&amp;Table2[[#This Row],[year]],
Teams[college]&amp;Teams[division]&amp;Teams[year],
Teams[finish], "NA")</f>
        <v>0</v>
      </c>
    </row>
    <row r="868" spans="1:6" x14ac:dyDescent="0.3">
      <c r="A868" t="s">
        <v>536</v>
      </c>
      <c r="B868" t="s">
        <v>5</v>
      </c>
      <c r="C868">
        <v>6</v>
      </c>
      <c r="D868">
        <v>2022</v>
      </c>
      <c r="E868" cm="1">
        <f t="array" ref="E868">_xlfn.XLOOKUP(Table2[[#This Row],[college]]&amp;Table2[[#This Row],[division]]&amp;Table2[[#This Row],[year]],
Teams[college]&amp;Teams[division]&amp;Teams[year],
Teams[placing], "NA")</f>
        <v>6</v>
      </c>
      <c r="F868" s="1" cm="1">
        <f t="array" ref="F868">_xlfn.XLOOKUP(Table2[[#This Row],[college]]&amp;Table2[[#This Row],[division]]&amp;Table2[[#This Row],[year]],
Teams[college]&amp;Teams[division]&amp;Teams[year],
Teams[finish], "NA")</f>
        <v>0.64097222222222217</v>
      </c>
    </row>
    <row r="869" spans="1:6" x14ac:dyDescent="0.3">
      <c r="A869" t="s">
        <v>536</v>
      </c>
      <c r="B869" t="s">
        <v>5</v>
      </c>
      <c r="C869">
        <v>5</v>
      </c>
      <c r="D869">
        <v>2023</v>
      </c>
      <c r="E869" t="str" cm="1">
        <f t="array" ref="E869">_xlfn.XLOOKUP(Table2[[#This Row],[college]]&amp;Table2[[#This Row],[division]]&amp;Table2[[#This Row],[year]],
Teams[college]&amp;Teams[division]&amp;Teams[year],
Teams[placing], "NA")</f>
        <v>DNF</v>
      </c>
      <c r="F869" s="1" t="str" cm="1">
        <f t="array" ref="F869">_xlfn.XLOOKUP(Table2[[#This Row],[college]]&amp;Table2[[#This Row],[division]]&amp;Table2[[#This Row],[year]],
Teams[college]&amp;Teams[division]&amp;Teams[year],
Teams[finish], "NA")</f>
        <v>NA</v>
      </c>
    </row>
    <row r="870" spans="1:6" x14ac:dyDescent="0.3">
      <c r="A870" t="s">
        <v>62</v>
      </c>
      <c r="B870" t="s">
        <v>10</v>
      </c>
      <c r="C870">
        <v>2</v>
      </c>
      <c r="D870">
        <v>2025</v>
      </c>
      <c r="E870" t="str" cm="1">
        <f t="array" ref="E870">_xlfn.XLOOKUP(Table2[[#This Row],[college]]&amp;Table2[[#This Row],[division]]&amp;Table2[[#This Row],[year]],
Teams[college]&amp;Teams[division]&amp;Teams[year],
Teams[placing], "NA")</f>
        <v>DNF</v>
      </c>
      <c r="F870" s="1" t="str" cm="1">
        <f t="array" ref="F870">_xlfn.XLOOKUP(Table2[[#This Row],[college]]&amp;Table2[[#This Row],[division]]&amp;Table2[[#This Row],[year]],
Teams[college]&amp;Teams[division]&amp;Teams[year],
Teams[finish], "NA")</f>
        <v>NA</v>
      </c>
    </row>
    <row r="871" spans="1:6" x14ac:dyDescent="0.3">
      <c r="A871" t="s">
        <v>62</v>
      </c>
      <c r="B871" t="s">
        <v>10</v>
      </c>
      <c r="C871">
        <v>2</v>
      </c>
      <c r="D871">
        <v>2026</v>
      </c>
      <c r="E871" cm="1">
        <f t="array" ref="E871">_xlfn.XLOOKUP(Table2[[#This Row],[college]]&amp;Table2[[#This Row],[division]]&amp;Table2[[#This Row],[year]],
Teams[college]&amp;Teams[division]&amp;Teams[year],
Teams[placing], "NA")</f>
        <v>0</v>
      </c>
      <c r="F871" s="1" cm="1">
        <f t="array" ref="F871">_xlfn.XLOOKUP(Table2[[#This Row],[college]]&amp;Table2[[#This Row],[division]]&amp;Table2[[#This Row],[year]],
Teams[college]&amp;Teams[division]&amp;Teams[year],
Teams[finish], "NA")</f>
        <v>0</v>
      </c>
    </row>
    <row r="872" spans="1:6" x14ac:dyDescent="0.3">
      <c r="A872" t="s">
        <v>960</v>
      </c>
      <c r="B872" t="s">
        <v>19</v>
      </c>
      <c r="C872">
        <v>7</v>
      </c>
      <c r="D872">
        <v>2026</v>
      </c>
      <c r="E872" cm="1">
        <f t="array" ref="E872">_xlfn.XLOOKUP(Table2[[#This Row],[college]]&amp;Table2[[#This Row],[division]]&amp;Table2[[#This Row],[year]],
Teams[college]&amp;Teams[division]&amp;Teams[year],
Teams[placing], "NA")</f>
        <v>0</v>
      </c>
      <c r="F872" s="1" cm="1">
        <f t="array" ref="F872">_xlfn.XLOOKUP(Table2[[#This Row],[college]]&amp;Table2[[#This Row],[division]]&amp;Table2[[#This Row],[year]],
Teams[college]&amp;Teams[division]&amp;Teams[year],
Teams[finish], "NA")</f>
        <v>0</v>
      </c>
    </row>
    <row r="873" spans="1:6" x14ac:dyDescent="0.3">
      <c r="A873" t="s">
        <v>525</v>
      </c>
      <c r="B873" t="s">
        <v>19</v>
      </c>
      <c r="C873">
        <v>7</v>
      </c>
      <c r="D873">
        <v>2023</v>
      </c>
      <c r="E873" cm="1">
        <f t="array" ref="E873">_xlfn.XLOOKUP(Table2[[#This Row],[college]]&amp;Table2[[#This Row],[division]]&amp;Table2[[#This Row],[year]],
Teams[college]&amp;Teams[division]&amp;Teams[year],
Teams[placing], "NA")</f>
        <v>9</v>
      </c>
      <c r="F873" s="1" cm="1">
        <f t="array" ref="F873">_xlfn.XLOOKUP(Table2[[#This Row],[college]]&amp;Table2[[#This Row],[division]]&amp;Table2[[#This Row],[year]],
Teams[college]&amp;Teams[division]&amp;Teams[year],
Teams[finish], "NA")</f>
        <v>0.61458333333333337</v>
      </c>
    </row>
    <row r="874" spans="1:6" x14ac:dyDescent="0.3">
      <c r="A874" t="s">
        <v>8</v>
      </c>
      <c r="B874" t="s">
        <v>5</v>
      </c>
      <c r="C874">
        <v>6</v>
      </c>
      <c r="D874">
        <v>2025</v>
      </c>
      <c r="E874" cm="1">
        <f t="array" ref="E874">_xlfn.XLOOKUP(Table2[[#This Row],[college]]&amp;Table2[[#This Row],[division]]&amp;Table2[[#This Row],[year]],
Teams[college]&amp;Teams[division]&amp;Teams[year],
Teams[placing], "NA")</f>
        <v>7</v>
      </c>
      <c r="F874" s="1" cm="1">
        <f t="array" ref="F874">_xlfn.XLOOKUP(Table2[[#This Row],[college]]&amp;Table2[[#This Row],[division]]&amp;Table2[[#This Row],[year]],
Teams[college]&amp;Teams[division]&amp;Teams[year],
Teams[finish], "NA")</f>
        <v>0.59652777777777777</v>
      </c>
    </row>
    <row r="875" spans="1:6" x14ac:dyDescent="0.3">
      <c r="A875" t="s">
        <v>127</v>
      </c>
      <c r="B875" t="s">
        <v>123</v>
      </c>
      <c r="C875">
        <v>5</v>
      </c>
      <c r="D875">
        <v>2022</v>
      </c>
      <c r="E875" cm="1">
        <f t="array" ref="E875">_xlfn.XLOOKUP(Table2[[#This Row],[college]]&amp;Table2[[#This Row],[division]]&amp;Table2[[#This Row],[year]],
Teams[college]&amp;Teams[division]&amp;Teams[year],
Teams[placing], "NA")</f>
        <v>1</v>
      </c>
      <c r="F875" s="1" cm="1">
        <f t="array" ref="F875">_xlfn.XLOOKUP(Table2[[#This Row],[college]]&amp;Table2[[#This Row],[division]]&amp;Table2[[#This Row],[year]],
Teams[college]&amp;Teams[division]&amp;Teams[year],
Teams[finish], "NA")</f>
        <v>0.44305555555555554</v>
      </c>
    </row>
    <row r="876" spans="1:6" x14ac:dyDescent="0.3">
      <c r="A876" t="s">
        <v>127</v>
      </c>
      <c r="B876" t="s">
        <v>123</v>
      </c>
      <c r="C876">
        <v>2</v>
      </c>
      <c r="D876">
        <v>2024</v>
      </c>
      <c r="E876" cm="1">
        <f t="array" ref="E876">_xlfn.XLOOKUP(Table2[[#This Row],[college]]&amp;Table2[[#This Row],[division]]&amp;Table2[[#This Row],[year]],
Teams[college]&amp;Teams[division]&amp;Teams[year],
Teams[placing], "NA")</f>
        <v>1</v>
      </c>
      <c r="F876" s="1" cm="1">
        <f t="array" ref="F876">_xlfn.XLOOKUP(Table2[[#This Row],[college]]&amp;Table2[[#This Row],[division]]&amp;Table2[[#This Row],[year]],
Teams[college]&amp;Teams[division]&amp;Teams[year],
Teams[finish], "NA")</f>
        <v>0.48819444444444443</v>
      </c>
    </row>
    <row r="877" spans="1:6" x14ac:dyDescent="0.3">
      <c r="A877" t="s">
        <v>127</v>
      </c>
      <c r="B877" t="s">
        <v>123</v>
      </c>
      <c r="C877">
        <v>6</v>
      </c>
      <c r="D877">
        <v>2025</v>
      </c>
      <c r="E877" cm="1">
        <f t="array" ref="E877">_xlfn.XLOOKUP(Table2[[#This Row],[college]]&amp;Table2[[#This Row],[division]]&amp;Table2[[#This Row],[year]],
Teams[college]&amp;Teams[division]&amp;Teams[year],
Teams[placing], "NA")</f>
        <v>2</v>
      </c>
      <c r="F877" s="1" cm="1">
        <f t="array" ref="F877">_xlfn.XLOOKUP(Table2[[#This Row],[college]]&amp;Table2[[#This Row],[division]]&amp;Table2[[#This Row],[year]],
Teams[college]&amp;Teams[division]&amp;Teams[year],
Teams[finish], "NA")</f>
        <v>0.51111111111111107</v>
      </c>
    </row>
    <row r="878" spans="1:6" x14ac:dyDescent="0.3">
      <c r="A878" t="s">
        <v>127</v>
      </c>
      <c r="B878" t="s">
        <v>123</v>
      </c>
      <c r="C878">
        <v>4</v>
      </c>
      <c r="D878">
        <v>2026</v>
      </c>
      <c r="E878" cm="1">
        <f t="array" ref="E878">_xlfn.XLOOKUP(Table2[[#This Row],[college]]&amp;Table2[[#This Row],[division]]&amp;Table2[[#This Row],[year]],
Teams[college]&amp;Teams[division]&amp;Teams[year],
Teams[placing], "NA")</f>
        <v>0</v>
      </c>
      <c r="F878" s="1" cm="1">
        <f t="array" ref="F878">_xlfn.XLOOKUP(Table2[[#This Row],[college]]&amp;Table2[[#This Row],[division]]&amp;Table2[[#This Row],[year]],
Teams[college]&amp;Teams[division]&amp;Teams[year],
Teams[finish], "NA")</f>
        <v>0</v>
      </c>
    </row>
    <row r="879" spans="1:6" x14ac:dyDescent="0.3">
      <c r="A879" t="s">
        <v>160</v>
      </c>
      <c r="B879" t="s">
        <v>137</v>
      </c>
      <c r="C879">
        <v>3</v>
      </c>
      <c r="D879">
        <v>2025</v>
      </c>
      <c r="E879" cm="1">
        <f t="array" ref="E879">_xlfn.XLOOKUP(Table2[[#This Row],[college]]&amp;Table2[[#This Row],[division]]&amp;Table2[[#This Row],[year]],
Teams[college]&amp;Teams[division]&amp;Teams[year],
Teams[placing], "NA")</f>
        <v>1</v>
      </c>
      <c r="F879" s="1" cm="1">
        <f t="array" ref="F879">_xlfn.XLOOKUP(Table2[[#This Row],[college]]&amp;Table2[[#This Row],[division]]&amp;Table2[[#This Row],[year]],
Teams[college]&amp;Teams[division]&amp;Teams[year],
Teams[finish], "NA")</f>
        <v>0.50277777777777777</v>
      </c>
    </row>
    <row r="880" spans="1:6" x14ac:dyDescent="0.3">
      <c r="A880" t="s">
        <v>160</v>
      </c>
      <c r="B880" t="s">
        <v>787</v>
      </c>
      <c r="C880">
        <v>1</v>
      </c>
      <c r="D880">
        <v>2026</v>
      </c>
      <c r="E880" t="str" cm="1">
        <f t="array" ref="E880">_xlfn.XLOOKUP(Table2[[#This Row],[college]]&amp;Table2[[#This Row],[division]]&amp;Table2[[#This Row],[year]],
Teams[college]&amp;Teams[division]&amp;Teams[year],
Teams[placing], "NA")</f>
        <v>NA</v>
      </c>
      <c r="F880" s="1" t="str" cm="1">
        <f t="array" ref="F880">_xlfn.XLOOKUP(Table2[[#This Row],[college]]&amp;Table2[[#This Row],[division]]&amp;Table2[[#This Row],[year]],
Teams[college]&amp;Teams[division]&amp;Teams[year],
Teams[finish], "NA")</f>
        <v>NA</v>
      </c>
    </row>
    <row r="881" spans="1:6" x14ac:dyDescent="0.3">
      <c r="A881" t="s">
        <v>910</v>
      </c>
      <c r="B881" t="s">
        <v>250</v>
      </c>
      <c r="C881">
        <v>5</v>
      </c>
      <c r="D881">
        <v>2026</v>
      </c>
      <c r="E881" cm="1">
        <f t="array" ref="E881">_xlfn.XLOOKUP(Table2[[#This Row],[college]]&amp;Table2[[#This Row],[division]]&amp;Table2[[#This Row],[year]],
Teams[college]&amp;Teams[division]&amp;Teams[year],
Teams[placing], "NA")</f>
        <v>0</v>
      </c>
      <c r="F881" s="1" cm="1">
        <f t="array" ref="F881">_xlfn.XLOOKUP(Table2[[#This Row],[college]]&amp;Table2[[#This Row],[division]]&amp;Table2[[#This Row],[year]],
Teams[college]&amp;Teams[division]&amp;Teams[year],
Teams[finish], "NA")</f>
        <v>0</v>
      </c>
    </row>
    <row r="882" spans="1:6" x14ac:dyDescent="0.3">
      <c r="A882" t="s">
        <v>940</v>
      </c>
      <c r="B882" t="s">
        <v>48</v>
      </c>
      <c r="C882">
        <v>6</v>
      </c>
      <c r="D882">
        <v>2026</v>
      </c>
      <c r="E882" cm="1">
        <f t="array" ref="E882">_xlfn.XLOOKUP(Table2[[#This Row],[college]]&amp;Table2[[#This Row],[division]]&amp;Table2[[#This Row],[year]],
Teams[college]&amp;Teams[division]&amp;Teams[year],
Teams[placing], "NA")</f>
        <v>0</v>
      </c>
      <c r="F882" s="1" cm="1">
        <f t="array" ref="F882">_xlfn.XLOOKUP(Table2[[#This Row],[college]]&amp;Table2[[#This Row],[division]]&amp;Table2[[#This Row],[year]],
Teams[college]&amp;Teams[division]&amp;Teams[year],
Teams[finish], "NA")</f>
        <v>0</v>
      </c>
    </row>
    <row r="883" spans="1:6" x14ac:dyDescent="0.3">
      <c r="A883" t="s">
        <v>585</v>
      </c>
      <c r="B883" t="s">
        <v>241</v>
      </c>
      <c r="C883">
        <v>7</v>
      </c>
      <c r="D883">
        <v>2023</v>
      </c>
      <c r="E883" cm="1">
        <f t="array" ref="E883">_xlfn.XLOOKUP(Table2[[#This Row],[college]]&amp;Table2[[#This Row],[division]]&amp;Table2[[#This Row],[year]],
Teams[college]&amp;Teams[division]&amp;Teams[year],
Teams[placing], "NA")</f>
        <v>2</v>
      </c>
      <c r="F883" s="1" cm="1">
        <f t="array" ref="F883">_xlfn.XLOOKUP(Table2[[#This Row],[college]]&amp;Table2[[#This Row],[division]]&amp;Table2[[#This Row],[year]],
Teams[college]&amp;Teams[division]&amp;Teams[year],
Teams[finish], "NA")</f>
        <v>0.51597222222222228</v>
      </c>
    </row>
    <row r="884" spans="1:6" x14ac:dyDescent="0.3">
      <c r="A884" t="s">
        <v>145</v>
      </c>
      <c r="B884" t="s">
        <v>132</v>
      </c>
      <c r="C884">
        <v>3</v>
      </c>
      <c r="D884">
        <v>2025</v>
      </c>
      <c r="E884" cm="1">
        <f t="array" ref="E884">_xlfn.XLOOKUP(Table2[[#This Row],[college]]&amp;Table2[[#This Row],[division]]&amp;Table2[[#This Row],[year]],
Teams[college]&amp;Teams[division]&amp;Teams[year],
Teams[placing], "NA")</f>
        <v>4</v>
      </c>
      <c r="F884" s="1" cm="1">
        <f t="array" ref="F884">_xlfn.XLOOKUP(Table2[[#This Row],[college]]&amp;Table2[[#This Row],[division]]&amp;Table2[[#This Row],[year]],
Teams[college]&amp;Teams[division]&amp;Teams[year],
Teams[finish], "NA")</f>
        <v>0.53541666666666665</v>
      </c>
    </row>
    <row r="885" spans="1:6" x14ac:dyDescent="0.3">
      <c r="A885" t="s">
        <v>65</v>
      </c>
      <c r="B885" t="s">
        <v>758</v>
      </c>
      <c r="C885">
        <v>5</v>
      </c>
      <c r="D885">
        <v>2025</v>
      </c>
      <c r="E885" t="str" cm="1">
        <f t="array" ref="E885">_xlfn.XLOOKUP(Table2[[#This Row],[college]]&amp;Table2[[#This Row],[division]]&amp;Table2[[#This Row],[year]],
Teams[college]&amp;Teams[division]&amp;Teams[year],
Teams[placing], "NA")</f>
        <v>NA</v>
      </c>
      <c r="F885" s="1" cm="1">
        <f t="array" ref="F885">_xlfn.XLOOKUP(Table2[[#This Row],[college]]&amp;Table2[[#This Row],[division]]&amp;Table2[[#This Row],[year]],
Teams[college]&amp;Teams[division]&amp;Teams[year],
Teams[finish], "NA")</f>
        <v>0.63611111111111107</v>
      </c>
    </row>
    <row r="886" spans="1:6" x14ac:dyDescent="0.3">
      <c r="A886" t="s">
        <v>65</v>
      </c>
      <c r="B886" t="s">
        <v>755</v>
      </c>
      <c r="C886">
        <v>2</v>
      </c>
      <c r="D886">
        <v>2024</v>
      </c>
      <c r="E886" t="str" cm="1">
        <f t="array" ref="E886">_xlfn.XLOOKUP(Table2[[#This Row],[college]]&amp;Table2[[#This Row],[division]]&amp;Table2[[#This Row],[year]],
Teams[college]&amp;Teams[division]&amp;Teams[year],
Teams[placing], "NA")</f>
        <v>DNF</v>
      </c>
      <c r="F886" s="1" t="str" cm="1">
        <f t="array" ref="F886">_xlfn.XLOOKUP(Table2[[#This Row],[college]]&amp;Table2[[#This Row],[division]]&amp;Table2[[#This Row],[year]],
Teams[college]&amp;Teams[division]&amp;Teams[year],
Teams[finish], "NA")</f>
        <v>NA</v>
      </c>
    </row>
    <row r="887" spans="1:6" x14ac:dyDescent="0.3">
      <c r="A887" t="s">
        <v>561</v>
      </c>
      <c r="B887" t="s">
        <v>137</v>
      </c>
      <c r="C887">
        <v>5</v>
      </c>
      <c r="D887">
        <v>2023</v>
      </c>
      <c r="E887" cm="1">
        <f t="array" ref="E887">_xlfn.XLOOKUP(Table2[[#This Row],[college]]&amp;Table2[[#This Row],[division]]&amp;Table2[[#This Row],[year]],
Teams[college]&amp;Teams[division]&amp;Teams[year],
Teams[placing], "NA")</f>
        <v>6</v>
      </c>
      <c r="F887" s="1" cm="1">
        <f t="array" ref="F887">_xlfn.XLOOKUP(Table2[[#This Row],[college]]&amp;Table2[[#This Row],[division]]&amp;Table2[[#This Row],[year]],
Teams[college]&amp;Teams[division]&amp;Teams[year],
Teams[finish], "NA")</f>
        <v>0.66666666666666663</v>
      </c>
    </row>
    <row r="888" spans="1:6" x14ac:dyDescent="0.3">
      <c r="A888" t="s">
        <v>335</v>
      </c>
      <c r="B888" t="s">
        <v>756</v>
      </c>
      <c r="C888">
        <v>5</v>
      </c>
      <c r="D888">
        <v>2024</v>
      </c>
      <c r="E888" t="str" cm="1">
        <f t="array" ref="E888">_xlfn.XLOOKUP(Table2[[#This Row],[college]]&amp;Table2[[#This Row],[division]]&amp;Table2[[#This Row],[year]],
Teams[college]&amp;Teams[division]&amp;Teams[year],
Teams[placing], "NA")</f>
        <v>NA</v>
      </c>
      <c r="F888" s="1" cm="1">
        <f t="array" ref="F888">_xlfn.XLOOKUP(Table2[[#This Row],[college]]&amp;Table2[[#This Row],[division]]&amp;Table2[[#This Row],[year]],
Teams[college]&amp;Teams[division]&amp;Teams[year],
Teams[finish], "NA")</f>
        <v>0.62361111111111112</v>
      </c>
    </row>
    <row r="889" spans="1:6" x14ac:dyDescent="0.3">
      <c r="A889" t="s">
        <v>818</v>
      </c>
      <c r="B889" t="s">
        <v>250</v>
      </c>
      <c r="C889">
        <v>2</v>
      </c>
      <c r="D889">
        <v>2026</v>
      </c>
      <c r="E889" cm="1">
        <f t="array" ref="E889">_xlfn.XLOOKUP(Table2[[#This Row],[college]]&amp;Table2[[#This Row],[division]]&amp;Table2[[#This Row],[year]],
Teams[college]&amp;Teams[division]&amp;Teams[year],
Teams[placing], "NA")</f>
        <v>0</v>
      </c>
      <c r="F889" s="1" cm="1">
        <f t="array" ref="F889">_xlfn.XLOOKUP(Table2[[#This Row],[college]]&amp;Table2[[#This Row],[division]]&amp;Table2[[#This Row],[year]],
Teams[college]&amp;Teams[division]&amp;Teams[year],
Teams[finish], "NA")</f>
        <v>0</v>
      </c>
    </row>
    <row r="890" spans="1:6" x14ac:dyDescent="0.3">
      <c r="A890" t="s">
        <v>882</v>
      </c>
      <c r="B890" t="s">
        <v>10</v>
      </c>
      <c r="C890">
        <v>5</v>
      </c>
      <c r="D890">
        <v>2026</v>
      </c>
      <c r="E890" cm="1">
        <f t="array" ref="E890">_xlfn.XLOOKUP(Table2[[#This Row],[college]]&amp;Table2[[#This Row],[division]]&amp;Table2[[#This Row],[year]],
Teams[college]&amp;Teams[division]&amp;Teams[year],
Teams[placing], "NA")</f>
        <v>0</v>
      </c>
      <c r="F890" s="1" cm="1">
        <f t="array" ref="F890">_xlfn.XLOOKUP(Table2[[#This Row],[college]]&amp;Table2[[#This Row],[division]]&amp;Table2[[#This Row],[year]],
Teams[college]&amp;Teams[division]&amp;Teams[year],
Teams[finish], "NA")</f>
        <v>0</v>
      </c>
    </row>
    <row r="891" spans="1:6" x14ac:dyDescent="0.3">
      <c r="A891" t="s">
        <v>144</v>
      </c>
      <c r="B891" t="s">
        <v>132</v>
      </c>
      <c r="C891">
        <v>1</v>
      </c>
      <c r="D891">
        <v>2025</v>
      </c>
      <c r="E891" cm="1">
        <f t="array" ref="E891">_xlfn.XLOOKUP(Table2[[#This Row],[college]]&amp;Table2[[#This Row],[division]]&amp;Table2[[#This Row],[year]],
Teams[college]&amp;Teams[division]&amp;Teams[year],
Teams[placing], "NA")</f>
        <v>7</v>
      </c>
      <c r="F891" s="1" cm="1">
        <f t="array" ref="F891">_xlfn.XLOOKUP(Table2[[#This Row],[college]]&amp;Table2[[#This Row],[division]]&amp;Table2[[#This Row],[year]],
Teams[college]&amp;Teams[division]&amp;Teams[year],
Teams[finish], "NA")</f>
        <v>0.65625</v>
      </c>
    </row>
    <row r="892" spans="1:6" x14ac:dyDescent="0.3">
      <c r="A892" t="s">
        <v>144</v>
      </c>
      <c r="B892" t="s">
        <v>5</v>
      </c>
      <c r="C892">
        <v>4</v>
      </c>
      <c r="D892">
        <v>2026</v>
      </c>
      <c r="E892" cm="1">
        <f t="array" ref="E892">_xlfn.XLOOKUP(Table2[[#This Row],[college]]&amp;Table2[[#This Row],[division]]&amp;Table2[[#This Row],[year]],
Teams[college]&amp;Teams[division]&amp;Teams[year],
Teams[placing], "NA")</f>
        <v>0</v>
      </c>
      <c r="F892" s="1" cm="1">
        <f t="array" ref="F892">_xlfn.XLOOKUP(Table2[[#This Row],[college]]&amp;Table2[[#This Row],[division]]&amp;Table2[[#This Row],[year]],
Teams[college]&amp;Teams[division]&amp;Teams[year],
Teams[finish], "NA")</f>
        <v>0</v>
      </c>
    </row>
    <row r="893" spans="1:6" x14ac:dyDescent="0.3">
      <c r="A893" t="s">
        <v>521</v>
      </c>
      <c r="B893" t="s">
        <v>19</v>
      </c>
      <c r="C893">
        <v>4</v>
      </c>
      <c r="D893">
        <v>2023</v>
      </c>
      <c r="E893" cm="1">
        <f t="array" ref="E893">_xlfn.XLOOKUP(Table2[[#This Row],[college]]&amp;Table2[[#This Row],[division]]&amp;Table2[[#This Row],[year]],
Teams[college]&amp;Teams[division]&amp;Teams[year],
Teams[placing], "NA")</f>
        <v>7</v>
      </c>
      <c r="F893" s="1" cm="1">
        <f t="array" ref="F893">_xlfn.XLOOKUP(Table2[[#This Row],[college]]&amp;Table2[[#This Row],[division]]&amp;Table2[[#This Row],[year]],
Teams[college]&amp;Teams[division]&amp;Teams[year],
Teams[finish], "NA")</f>
        <v>0.66249999999999998</v>
      </c>
    </row>
    <row r="894" spans="1:6" x14ac:dyDescent="0.3">
      <c r="A894" t="s">
        <v>556</v>
      </c>
      <c r="B894" t="s">
        <v>250</v>
      </c>
      <c r="C894">
        <v>5</v>
      </c>
      <c r="D894">
        <v>2023</v>
      </c>
      <c r="E894" cm="1">
        <f t="array" ref="E894">_xlfn.XLOOKUP(Table2[[#This Row],[college]]&amp;Table2[[#This Row],[division]]&amp;Table2[[#This Row],[year]],
Teams[college]&amp;Teams[division]&amp;Teams[year],
Teams[placing], "NA")</f>
        <v>5</v>
      </c>
      <c r="F894" s="1" cm="1">
        <f t="array" ref="F894">_xlfn.XLOOKUP(Table2[[#This Row],[college]]&amp;Table2[[#This Row],[division]]&amp;Table2[[#This Row],[year]],
Teams[college]&amp;Teams[division]&amp;Teams[year],
Teams[finish], "NA")</f>
        <v>0.65277777777777779</v>
      </c>
    </row>
    <row r="895" spans="1:6" x14ac:dyDescent="0.3">
      <c r="A895" t="s">
        <v>701</v>
      </c>
      <c r="B895" t="s">
        <v>10</v>
      </c>
      <c r="C895">
        <v>5</v>
      </c>
      <c r="D895">
        <v>2022</v>
      </c>
      <c r="E895" cm="1">
        <f t="array" ref="E895">_xlfn.XLOOKUP(Table2[[#This Row],[college]]&amp;Table2[[#This Row],[division]]&amp;Table2[[#This Row],[year]],
Teams[college]&amp;Teams[division]&amp;Teams[year],
Teams[placing], "NA")</f>
        <v>5</v>
      </c>
      <c r="F895" s="1" cm="1">
        <f t="array" ref="F895">_xlfn.XLOOKUP(Table2[[#This Row],[college]]&amp;Table2[[#This Row],[division]]&amp;Table2[[#This Row],[year]],
Teams[college]&amp;Teams[division]&amp;Teams[year],
Teams[finish], "NA")</f>
        <v>0.53333333333333333</v>
      </c>
    </row>
    <row r="896" spans="1:6" x14ac:dyDescent="0.3">
      <c r="A896" t="s">
        <v>928</v>
      </c>
      <c r="B896" t="s">
        <v>132</v>
      </c>
      <c r="C896">
        <v>6</v>
      </c>
      <c r="D896">
        <v>2026</v>
      </c>
      <c r="E896" cm="1">
        <f t="array" ref="E896">_xlfn.XLOOKUP(Table2[[#This Row],[college]]&amp;Table2[[#This Row],[division]]&amp;Table2[[#This Row],[year]],
Teams[college]&amp;Teams[division]&amp;Teams[year],
Teams[placing], "NA")</f>
        <v>0</v>
      </c>
      <c r="F896" s="1" cm="1">
        <f t="array" ref="F896">_xlfn.XLOOKUP(Table2[[#This Row],[college]]&amp;Table2[[#This Row],[division]]&amp;Table2[[#This Row],[year]],
Teams[college]&amp;Teams[division]&amp;Teams[year],
Teams[finish], "NA")</f>
        <v>0</v>
      </c>
    </row>
    <row r="897" spans="1:6" x14ac:dyDescent="0.3">
      <c r="A897" t="s">
        <v>975</v>
      </c>
      <c r="B897" t="s">
        <v>241</v>
      </c>
      <c r="C897">
        <v>7</v>
      </c>
      <c r="D897">
        <v>2026</v>
      </c>
      <c r="E897" cm="1">
        <f t="array" ref="E897">_xlfn.XLOOKUP(Table2[[#This Row],[college]]&amp;Table2[[#This Row],[division]]&amp;Table2[[#This Row],[year]],
Teams[college]&amp;Teams[division]&amp;Teams[year],
Teams[placing], "NA")</f>
        <v>0</v>
      </c>
      <c r="F897" s="1" cm="1">
        <f t="array" ref="F897">_xlfn.XLOOKUP(Table2[[#This Row],[college]]&amp;Table2[[#This Row],[division]]&amp;Table2[[#This Row],[year]],
Teams[college]&amp;Teams[division]&amp;Teams[year],
Teams[finish], "NA")</f>
        <v>0</v>
      </c>
    </row>
    <row r="898" spans="1:6" x14ac:dyDescent="0.3">
      <c r="A898" t="s">
        <v>938</v>
      </c>
      <c r="B898" t="s">
        <v>787</v>
      </c>
      <c r="C898">
        <v>6</v>
      </c>
      <c r="D898">
        <v>2026</v>
      </c>
      <c r="E898" t="str" cm="1">
        <f t="array" ref="E898">_xlfn.XLOOKUP(Table2[[#This Row],[college]]&amp;Table2[[#This Row],[division]]&amp;Table2[[#This Row],[year]],
Teams[college]&amp;Teams[division]&amp;Teams[year],
Teams[placing], "NA")</f>
        <v>NA</v>
      </c>
      <c r="F898" s="1" t="str" cm="1">
        <f t="array" ref="F898">_xlfn.XLOOKUP(Table2[[#This Row],[college]]&amp;Table2[[#This Row],[division]]&amp;Table2[[#This Row],[year]],
Teams[college]&amp;Teams[division]&amp;Teams[year],
Teams[finish], "NA")</f>
        <v>NA</v>
      </c>
    </row>
    <row r="899" spans="1:6" x14ac:dyDescent="0.3">
      <c r="A899" t="s">
        <v>46</v>
      </c>
      <c r="B899" t="s">
        <v>15</v>
      </c>
      <c r="C899">
        <v>4</v>
      </c>
      <c r="D899">
        <v>2025</v>
      </c>
      <c r="E899" cm="1">
        <f t="array" ref="E899">_xlfn.XLOOKUP(Table2[[#This Row],[college]]&amp;Table2[[#This Row],[division]]&amp;Table2[[#This Row],[year]],
Teams[college]&amp;Teams[division]&amp;Teams[year],
Teams[placing], "NA")</f>
        <v>1</v>
      </c>
      <c r="F899" s="1" cm="1">
        <f t="array" ref="F899">_xlfn.XLOOKUP(Table2[[#This Row],[college]]&amp;Table2[[#This Row],[division]]&amp;Table2[[#This Row],[year]],
Teams[college]&amp;Teams[division]&amp;Teams[year],
Teams[finish], "NA")</f>
        <v>0.51458333333333328</v>
      </c>
    </row>
    <row r="900" spans="1:6" x14ac:dyDescent="0.3">
      <c r="A900" t="s">
        <v>46</v>
      </c>
      <c r="B900" t="s">
        <v>15</v>
      </c>
      <c r="C900">
        <v>3</v>
      </c>
      <c r="D900">
        <v>2026</v>
      </c>
      <c r="E900" cm="1">
        <f t="array" ref="E900">_xlfn.XLOOKUP(Table2[[#This Row],[college]]&amp;Table2[[#This Row],[division]]&amp;Table2[[#This Row],[year]],
Teams[college]&amp;Teams[division]&amp;Teams[year],
Teams[placing], "NA")</f>
        <v>0</v>
      </c>
      <c r="F900" s="1" cm="1">
        <f t="array" ref="F900">_xlfn.XLOOKUP(Table2[[#This Row],[college]]&amp;Table2[[#This Row],[division]]&amp;Table2[[#This Row],[year]],
Teams[college]&amp;Teams[division]&amp;Teams[year],
Teams[finish], "NA")</f>
        <v>0</v>
      </c>
    </row>
    <row r="901" spans="1:6" x14ac:dyDescent="0.3">
      <c r="A901" t="s">
        <v>304</v>
      </c>
      <c r="B901" t="s">
        <v>755</v>
      </c>
      <c r="C901">
        <v>6</v>
      </c>
      <c r="D901">
        <v>2025</v>
      </c>
      <c r="E901" t="str" cm="1">
        <f t="array" ref="E901">_xlfn.XLOOKUP(Table2[[#This Row],[college]]&amp;Table2[[#This Row],[division]]&amp;Table2[[#This Row],[year]],
Teams[college]&amp;Teams[division]&amp;Teams[year],
Teams[placing], "NA")</f>
        <v>NA</v>
      </c>
      <c r="F901" s="1" cm="1">
        <f t="array" ref="F901">_xlfn.XLOOKUP(Table2[[#This Row],[college]]&amp;Table2[[#This Row],[division]]&amp;Table2[[#This Row],[year]],
Teams[college]&amp;Teams[division]&amp;Teams[year],
Teams[finish], "NA")</f>
        <v>0.55000000000000004</v>
      </c>
    </row>
    <row r="902" spans="1:6" x14ac:dyDescent="0.3">
      <c r="A902" t="s">
        <v>624</v>
      </c>
      <c r="B902" t="s">
        <v>123</v>
      </c>
      <c r="C902">
        <v>5</v>
      </c>
      <c r="D902">
        <v>2023</v>
      </c>
      <c r="E902" cm="1">
        <f t="array" ref="E902">_xlfn.XLOOKUP(Table2[[#This Row],[college]]&amp;Table2[[#This Row],[division]]&amp;Table2[[#This Row],[year]],
Teams[college]&amp;Teams[division]&amp;Teams[year],
Teams[placing], "NA")</f>
        <v>7</v>
      </c>
      <c r="F902" s="1" cm="1">
        <f t="array" ref="F902">_xlfn.XLOOKUP(Table2[[#This Row],[college]]&amp;Table2[[#This Row],[division]]&amp;Table2[[#This Row],[year]],
Teams[college]&amp;Teams[division]&amp;Teams[year],
Teams[finish], "NA")</f>
        <v>0.67777777777777781</v>
      </c>
    </row>
    <row r="903" spans="1:6" x14ac:dyDescent="0.3">
      <c r="A903" t="s">
        <v>651</v>
      </c>
      <c r="B903" t="s">
        <v>755</v>
      </c>
      <c r="C903">
        <v>4</v>
      </c>
      <c r="D903">
        <v>2023</v>
      </c>
      <c r="E903" t="str" cm="1">
        <f t="array" ref="E903">_xlfn.XLOOKUP(Table2[[#This Row],[college]]&amp;Table2[[#This Row],[division]]&amp;Table2[[#This Row],[year]],
Teams[college]&amp;Teams[division]&amp;Teams[year],
Teams[placing], "NA")</f>
        <v>DNF</v>
      </c>
      <c r="F903" s="1" t="str" cm="1">
        <f t="array" ref="F903">_xlfn.XLOOKUP(Table2[[#This Row],[college]]&amp;Table2[[#This Row],[division]]&amp;Table2[[#This Row],[year]],
Teams[college]&amp;Teams[division]&amp;Teams[year],
Teams[finish], "NA")</f>
        <v>NA</v>
      </c>
    </row>
    <row r="904" spans="1:6" x14ac:dyDescent="0.3">
      <c r="A904" t="s">
        <v>382</v>
      </c>
      <c r="B904" t="s">
        <v>5</v>
      </c>
      <c r="C904">
        <v>7</v>
      </c>
      <c r="D904">
        <v>2024</v>
      </c>
      <c r="E904" cm="1">
        <f t="array" ref="E904">_xlfn.XLOOKUP(Table2[[#This Row],[college]]&amp;Table2[[#This Row],[division]]&amp;Table2[[#This Row],[year]],
Teams[college]&amp;Teams[division]&amp;Teams[year],
Teams[placing], "NA")</f>
        <v>4</v>
      </c>
      <c r="F904" s="1" cm="1">
        <f t="array" ref="F904">_xlfn.XLOOKUP(Table2[[#This Row],[college]]&amp;Table2[[#This Row],[division]]&amp;Table2[[#This Row],[year]],
Teams[college]&amp;Teams[division]&amp;Teams[year],
Teams[finish], "NA")</f>
        <v>0.66597222222222219</v>
      </c>
    </row>
    <row r="905" spans="1:6" x14ac:dyDescent="0.3">
      <c r="A905" t="s">
        <v>431</v>
      </c>
      <c r="B905" t="s">
        <v>754</v>
      </c>
      <c r="C905">
        <v>5</v>
      </c>
      <c r="D905">
        <v>2024</v>
      </c>
      <c r="E905" t="str" cm="1">
        <f t="array" ref="E905">_xlfn.XLOOKUP(Table2[[#This Row],[college]]&amp;Table2[[#This Row],[division]]&amp;Table2[[#This Row],[year]],
Teams[college]&amp;Teams[division]&amp;Teams[year],
Teams[placing], "NA")</f>
        <v>NA</v>
      </c>
      <c r="F905" s="1" cm="1">
        <f t="array" ref="F905">_xlfn.XLOOKUP(Table2[[#This Row],[college]]&amp;Table2[[#This Row],[division]]&amp;Table2[[#This Row],[year]],
Teams[college]&amp;Teams[division]&amp;Teams[year],
Teams[finish], "NA")</f>
        <v>0.4777777777777778</v>
      </c>
    </row>
    <row r="906" spans="1:6" x14ac:dyDescent="0.3">
      <c r="A906" t="s">
        <v>441</v>
      </c>
      <c r="B906" t="s">
        <v>250</v>
      </c>
      <c r="C906">
        <v>6</v>
      </c>
      <c r="D906">
        <v>2022</v>
      </c>
      <c r="E906" cm="1">
        <f t="array" ref="E906">_xlfn.XLOOKUP(Table2[[#This Row],[college]]&amp;Table2[[#This Row],[division]]&amp;Table2[[#This Row],[year]],
Teams[college]&amp;Teams[division]&amp;Teams[year],
Teams[placing], "NA")</f>
        <v>5</v>
      </c>
      <c r="F906" s="1" cm="1">
        <f t="array" ref="F906">_xlfn.XLOOKUP(Table2[[#This Row],[college]]&amp;Table2[[#This Row],[division]]&amp;Table2[[#This Row],[year]],
Teams[college]&amp;Teams[division]&amp;Teams[year],
Teams[finish], "NA")</f>
        <v>0.52847222222222223</v>
      </c>
    </row>
    <row r="907" spans="1:6" x14ac:dyDescent="0.3">
      <c r="A907" t="s">
        <v>441</v>
      </c>
      <c r="B907" t="s">
        <v>250</v>
      </c>
      <c r="C907">
        <v>5</v>
      </c>
      <c r="D907">
        <v>2024</v>
      </c>
      <c r="E907" cm="1">
        <f t="array" ref="E907">_xlfn.XLOOKUP(Table2[[#This Row],[college]]&amp;Table2[[#This Row],[division]]&amp;Table2[[#This Row],[year]],
Teams[college]&amp;Teams[division]&amp;Teams[year],
Teams[placing], "NA")</f>
        <v>7</v>
      </c>
      <c r="F907" s="1" cm="1">
        <f t="array" ref="F907">_xlfn.XLOOKUP(Table2[[#This Row],[college]]&amp;Table2[[#This Row],[division]]&amp;Table2[[#This Row],[year]],
Teams[college]&amp;Teams[division]&amp;Teams[year],
Teams[finish], "NA")</f>
        <v>0.63194444444444442</v>
      </c>
    </row>
    <row r="908" spans="1:6" x14ac:dyDescent="0.3">
      <c r="A908" t="s">
        <v>441</v>
      </c>
      <c r="B908" t="s">
        <v>250</v>
      </c>
      <c r="C908">
        <v>1</v>
      </c>
      <c r="D908">
        <v>2023</v>
      </c>
      <c r="E908" cm="1">
        <f t="array" ref="E908">_xlfn.XLOOKUP(Table2[[#This Row],[college]]&amp;Table2[[#This Row],[division]]&amp;Table2[[#This Row],[year]],
Teams[college]&amp;Teams[division]&amp;Teams[year],
Teams[placing], "NA")</f>
        <v>2</v>
      </c>
      <c r="F908" s="1" cm="1">
        <f t="array" ref="F908">_xlfn.XLOOKUP(Table2[[#This Row],[college]]&amp;Table2[[#This Row],[division]]&amp;Table2[[#This Row],[year]],
Teams[college]&amp;Teams[division]&amp;Teams[year],
Teams[finish], "NA")</f>
        <v>0.65416666666666667</v>
      </c>
    </row>
    <row r="909" spans="1:6" x14ac:dyDescent="0.3">
      <c r="A909" t="s">
        <v>138</v>
      </c>
      <c r="B909" t="s">
        <v>137</v>
      </c>
      <c r="C909">
        <v>6</v>
      </c>
      <c r="D909">
        <v>2025</v>
      </c>
      <c r="E909" cm="1">
        <f t="array" ref="E909">_xlfn.XLOOKUP(Table2[[#This Row],[college]]&amp;Table2[[#This Row],[division]]&amp;Table2[[#This Row],[year]],
Teams[college]&amp;Teams[division]&amp;Teams[year],
Teams[placing], "NA")</f>
        <v>6</v>
      </c>
      <c r="F909" s="1" cm="1">
        <f t="array" ref="F909">_xlfn.XLOOKUP(Table2[[#This Row],[college]]&amp;Table2[[#This Row],[division]]&amp;Table2[[#This Row],[year]],
Teams[college]&amp;Teams[division]&amp;Teams[year],
Teams[finish], "NA")</f>
        <v>0.56944444444444442</v>
      </c>
    </row>
    <row r="910" spans="1:6" x14ac:dyDescent="0.3">
      <c r="A910" t="s">
        <v>410</v>
      </c>
      <c r="B910" t="s">
        <v>10</v>
      </c>
      <c r="C910">
        <v>2</v>
      </c>
      <c r="D910">
        <v>2024</v>
      </c>
      <c r="E910" cm="1">
        <f t="array" ref="E910">_xlfn.XLOOKUP(Table2[[#This Row],[college]]&amp;Table2[[#This Row],[division]]&amp;Table2[[#This Row],[year]],
Teams[college]&amp;Teams[division]&amp;Teams[year],
Teams[placing], "NA")</f>
        <v>5</v>
      </c>
      <c r="F910" s="1" cm="1">
        <f t="array" ref="F910">_xlfn.XLOOKUP(Table2[[#This Row],[college]]&amp;Table2[[#This Row],[division]]&amp;Table2[[#This Row],[year]],
Teams[college]&amp;Teams[division]&amp;Teams[year],
Teams[finish], "NA")</f>
        <v>0.57916666666666672</v>
      </c>
    </row>
    <row r="911" spans="1:6" x14ac:dyDescent="0.3">
      <c r="A911" t="s">
        <v>410</v>
      </c>
      <c r="B911" t="s">
        <v>10</v>
      </c>
      <c r="C911">
        <v>3</v>
      </c>
      <c r="D911">
        <v>2023</v>
      </c>
      <c r="E911" cm="1">
        <f t="array" ref="E911">_xlfn.XLOOKUP(Table2[[#This Row],[college]]&amp;Table2[[#This Row],[division]]&amp;Table2[[#This Row],[year]],
Teams[college]&amp;Teams[division]&amp;Teams[year],
Teams[placing], "NA")</f>
        <v>2</v>
      </c>
      <c r="F911" s="1" cm="1">
        <f t="array" ref="F911">_xlfn.XLOOKUP(Table2[[#This Row],[college]]&amp;Table2[[#This Row],[division]]&amp;Table2[[#This Row],[year]],
Teams[college]&amp;Teams[division]&amp;Teams[year],
Teams[finish], "NA")</f>
        <v>0.59375</v>
      </c>
    </row>
    <row r="912" spans="1:6" x14ac:dyDescent="0.3">
      <c r="A912" t="s">
        <v>410</v>
      </c>
      <c r="B912" t="s">
        <v>5</v>
      </c>
      <c r="C912">
        <v>5</v>
      </c>
      <c r="D912">
        <v>2026</v>
      </c>
      <c r="E912" cm="1">
        <f t="array" ref="E912">_xlfn.XLOOKUP(Table2[[#This Row],[college]]&amp;Table2[[#This Row],[division]]&amp;Table2[[#This Row],[year]],
Teams[college]&amp;Teams[division]&amp;Teams[year],
Teams[placing], "NA")</f>
        <v>0</v>
      </c>
      <c r="F912" s="1" cm="1">
        <f t="array" ref="F912">_xlfn.XLOOKUP(Table2[[#This Row],[college]]&amp;Table2[[#This Row],[division]]&amp;Table2[[#This Row],[year]],
Teams[college]&amp;Teams[division]&amp;Teams[year],
Teams[finish], "NA")</f>
        <v>0</v>
      </c>
    </row>
    <row r="913" spans="1:6" x14ac:dyDescent="0.3">
      <c r="A913" t="s">
        <v>586</v>
      </c>
      <c r="B913" t="s">
        <v>241</v>
      </c>
      <c r="C913">
        <v>7</v>
      </c>
      <c r="D913">
        <v>2023</v>
      </c>
      <c r="E913" cm="1">
        <f t="array" ref="E913">_xlfn.XLOOKUP(Table2[[#This Row],[college]]&amp;Table2[[#This Row],[division]]&amp;Table2[[#This Row],[year]],
Teams[college]&amp;Teams[division]&amp;Teams[year],
Teams[placing], "NA")</f>
        <v>2</v>
      </c>
      <c r="F913" s="1" cm="1">
        <f t="array" ref="F913">_xlfn.XLOOKUP(Table2[[#This Row],[college]]&amp;Table2[[#This Row],[division]]&amp;Table2[[#This Row],[year]],
Teams[college]&amp;Teams[division]&amp;Teams[year],
Teams[finish], "NA")</f>
        <v>0.51597222222222228</v>
      </c>
    </row>
    <row r="914" spans="1:6" x14ac:dyDescent="0.3">
      <c r="A914" t="s">
        <v>302</v>
      </c>
      <c r="B914" t="s">
        <v>755</v>
      </c>
      <c r="C914">
        <v>6</v>
      </c>
      <c r="D914">
        <v>2025</v>
      </c>
      <c r="E914" t="str" cm="1">
        <f t="array" ref="E914">_xlfn.XLOOKUP(Table2[[#This Row],[college]]&amp;Table2[[#This Row],[division]]&amp;Table2[[#This Row],[year]],
Teams[college]&amp;Teams[division]&amp;Teams[year],
Teams[placing], "NA")</f>
        <v>NA</v>
      </c>
      <c r="F914" s="1" cm="1">
        <f t="array" ref="F914">_xlfn.XLOOKUP(Table2[[#This Row],[college]]&amp;Table2[[#This Row],[division]]&amp;Table2[[#This Row],[year]],
Teams[college]&amp;Teams[division]&amp;Teams[year],
Teams[finish], "NA")</f>
        <v>0.55000000000000004</v>
      </c>
    </row>
    <row r="915" spans="1:6" x14ac:dyDescent="0.3">
      <c r="A915" t="s">
        <v>302</v>
      </c>
      <c r="B915" t="s">
        <v>19</v>
      </c>
      <c r="C915">
        <v>5</v>
      </c>
      <c r="D915">
        <v>2026</v>
      </c>
      <c r="E915" cm="1">
        <f t="array" ref="E915">_xlfn.XLOOKUP(Table2[[#This Row],[college]]&amp;Table2[[#This Row],[division]]&amp;Table2[[#This Row],[year]],
Teams[college]&amp;Teams[division]&amp;Teams[year],
Teams[placing], "NA")</f>
        <v>0</v>
      </c>
      <c r="F915" s="1" cm="1">
        <f t="array" ref="F915">_xlfn.XLOOKUP(Table2[[#This Row],[college]]&amp;Table2[[#This Row],[division]]&amp;Table2[[#This Row],[year]],
Teams[college]&amp;Teams[division]&amp;Teams[year],
Teams[finish], "NA")</f>
        <v>0</v>
      </c>
    </row>
    <row r="916" spans="1:6" x14ac:dyDescent="0.3">
      <c r="A916" t="s">
        <v>363</v>
      </c>
      <c r="B916" t="s">
        <v>5</v>
      </c>
      <c r="C916">
        <v>6</v>
      </c>
      <c r="D916">
        <v>2024</v>
      </c>
      <c r="E916" cm="1">
        <f t="array" ref="E916">_xlfn.XLOOKUP(Table2[[#This Row],[college]]&amp;Table2[[#This Row],[division]]&amp;Table2[[#This Row],[year]],
Teams[college]&amp;Teams[division]&amp;Teams[year],
Teams[placing], "NA")</f>
        <v>1</v>
      </c>
      <c r="F916" s="1" cm="1">
        <f t="array" ref="F916">_xlfn.XLOOKUP(Table2[[#This Row],[college]]&amp;Table2[[#This Row],[division]]&amp;Table2[[#This Row],[year]],
Teams[college]&amp;Teams[division]&amp;Teams[year],
Teams[finish], "NA")</f>
        <v>0.59722222222222221</v>
      </c>
    </row>
    <row r="917" spans="1:6" x14ac:dyDescent="0.3">
      <c r="A917" t="s">
        <v>834</v>
      </c>
      <c r="B917" t="s">
        <v>266</v>
      </c>
      <c r="C917">
        <v>3</v>
      </c>
      <c r="D917">
        <v>2026</v>
      </c>
      <c r="E917" cm="1">
        <f t="array" ref="E917">_xlfn.XLOOKUP(Table2[[#This Row],[college]]&amp;Table2[[#This Row],[division]]&amp;Table2[[#This Row],[year]],
Teams[college]&amp;Teams[division]&amp;Teams[year],
Teams[placing], "NA")</f>
        <v>0</v>
      </c>
      <c r="F917" s="1" cm="1">
        <f t="array" ref="F917">_xlfn.XLOOKUP(Table2[[#This Row],[college]]&amp;Table2[[#This Row],[division]]&amp;Table2[[#This Row],[year]],
Teams[college]&amp;Teams[division]&amp;Teams[year],
Teams[finish], "NA")</f>
        <v>0</v>
      </c>
    </row>
    <row r="918" spans="1:6" x14ac:dyDescent="0.3">
      <c r="A918" t="s">
        <v>511</v>
      </c>
      <c r="B918" t="s">
        <v>754</v>
      </c>
      <c r="C918">
        <v>6</v>
      </c>
      <c r="D918">
        <v>2023</v>
      </c>
      <c r="E918" t="str" cm="1">
        <f t="array" ref="E918">_xlfn.XLOOKUP(Table2[[#This Row],[college]]&amp;Table2[[#This Row],[division]]&amp;Table2[[#This Row],[year]],
Teams[college]&amp;Teams[division]&amp;Teams[year],
Teams[placing], "NA")</f>
        <v>NA</v>
      </c>
      <c r="F918" s="1" cm="1">
        <f t="array" ref="F918">_xlfn.XLOOKUP(Table2[[#This Row],[college]]&amp;Table2[[#This Row],[division]]&amp;Table2[[#This Row],[year]],
Teams[college]&amp;Teams[division]&amp;Teams[year],
Teams[finish], "NA")</f>
        <v>0.60416666666666663</v>
      </c>
    </row>
    <row r="919" spans="1:6" x14ac:dyDescent="0.3">
      <c r="A919" t="s">
        <v>332</v>
      </c>
      <c r="B919" t="s">
        <v>755</v>
      </c>
      <c r="C919">
        <v>2</v>
      </c>
      <c r="D919">
        <v>2025</v>
      </c>
      <c r="E919" t="str" cm="1">
        <f t="array" ref="E919">_xlfn.XLOOKUP(Table2[[#This Row],[college]]&amp;Table2[[#This Row],[division]]&amp;Table2[[#This Row],[year]],
Teams[college]&amp;Teams[division]&amp;Teams[year],
Teams[placing], "NA")</f>
        <v>NA</v>
      </c>
      <c r="F919" s="1" cm="1">
        <f t="array" ref="F919">_xlfn.XLOOKUP(Table2[[#This Row],[college]]&amp;Table2[[#This Row],[division]]&amp;Table2[[#This Row],[year]],
Teams[college]&amp;Teams[division]&amp;Teams[year],
Teams[finish], "NA")</f>
        <v>0.57499999999999996</v>
      </c>
    </row>
    <row r="920" spans="1:6" x14ac:dyDescent="0.3">
      <c r="A920" t="s">
        <v>393</v>
      </c>
      <c r="B920" t="s">
        <v>123</v>
      </c>
      <c r="C920">
        <v>2</v>
      </c>
      <c r="D920">
        <v>2024</v>
      </c>
      <c r="E920" cm="1">
        <f t="array" ref="E920">_xlfn.XLOOKUP(Table2[[#This Row],[college]]&amp;Table2[[#This Row],[division]]&amp;Table2[[#This Row],[year]],
Teams[college]&amp;Teams[division]&amp;Teams[year],
Teams[placing], "NA")</f>
        <v>1</v>
      </c>
      <c r="F920" s="1" cm="1">
        <f t="array" ref="F920">_xlfn.XLOOKUP(Table2[[#This Row],[college]]&amp;Table2[[#This Row],[division]]&amp;Table2[[#This Row],[year]],
Teams[college]&amp;Teams[division]&amp;Teams[year],
Teams[finish], "NA")</f>
        <v>0.48819444444444443</v>
      </c>
    </row>
    <row r="921" spans="1:6" x14ac:dyDescent="0.3">
      <c r="A921" t="s">
        <v>216</v>
      </c>
      <c r="B921" t="s">
        <v>123</v>
      </c>
      <c r="C921">
        <v>4</v>
      </c>
      <c r="D921">
        <v>2024</v>
      </c>
      <c r="E921" cm="1">
        <f t="array" ref="E921">_xlfn.XLOOKUP(Table2[[#This Row],[college]]&amp;Table2[[#This Row],[division]]&amp;Table2[[#This Row],[year]],
Teams[college]&amp;Teams[division]&amp;Teams[year],
Teams[placing], "NA")</f>
        <v>1</v>
      </c>
      <c r="F921" s="1" cm="1">
        <f t="array" ref="F921">_xlfn.XLOOKUP(Table2[[#This Row],[college]]&amp;Table2[[#This Row],[division]]&amp;Table2[[#This Row],[year]],
Teams[college]&amp;Teams[division]&amp;Teams[year],
Teams[finish], "NA")</f>
        <v>0.60347222222222219</v>
      </c>
    </row>
    <row r="922" spans="1:6" x14ac:dyDescent="0.3">
      <c r="A922" t="s">
        <v>216</v>
      </c>
      <c r="B922" t="s">
        <v>123</v>
      </c>
      <c r="C922">
        <v>1</v>
      </c>
      <c r="D922">
        <v>2025</v>
      </c>
      <c r="E922" cm="1">
        <f t="array" ref="E922">_xlfn.XLOOKUP(Table2[[#This Row],[college]]&amp;Table2[[#This Row],[division]]&amp;Table2[[#This Row],[year]],
Teams[college]&amp;Teams[division]&amp;Teams[year],
Teams[placing], "NA")</f>
        <v>7</v>
      </c>
      <c r="F922" s="1" cm="1">
        <f t="array" ref="F922">_xlfn.XLOOKUP(Table2[[#This Row],[college]]&amp;Table2[[#This Row],[division]]&amp;Table2[[#This Row],[year]],
Teams[college]&amp;Teams[division]&amp;Teams[year],
Teams[finish], "NA")</f>
        <v>0.65625</v>
      </c>
    </row>
    <row r="923" spans="1:6" x14ac:dyDescent="0.3">
      <c r="A923" t="s">
        <v>216</v>
      </c>
      <c r="B923" t="s">
        <v>241</v>
      </c>
      <c r="C923">
        <v>2</v>
      </c>
      <c r="D923">
        <v>2026</v>
      </c>
      <c r="E923" cm="1">
        <f t="array" ref="E923">_xlfn.XLOOKUP(Table2[[#This Row],[college]]&amp;Table2[[#This Row],[division]]&amp;Table2[[#This Row],[year]],
Teams[college]&amp;Teams[division]&amp;Teams[year],
Teams[placing], "NA")</f>
        <v>0</v>
      </c>
      <c r="F923" s="1" cm="1">
        <f t="array" ref="F923">_xlfn.XLOOKUP(Table2[[#This Row],[college]]&amp;Table2[[#This Row],[division]]&amp;Table2[[#This Row],[year]],
Teams[college]&amp;Teams[division]&amp;Teams[year],
Teams[finish], "NA")</f>
        <v>0</v>
      </c>
    </row>
    <row r="924" spans="1:6" x14ac:dyDescent="0.3">
      <c r="A924" t="s">
        <v>256</v>
      </c>
      <c r="B924" t="s">
        <v>250</v>
      </c>
      <c r="C924">
        <v>1</v>
      </c>
      <c r="D924">
        <v>2025</v>
      </c>
      <c r="E924" cm="1">
        <f t="array" ref="E924">_xlfn.XLOOKUP(Table2[[#This Row],[college]]&amp;Table2[[#This Row],[division]]&amp;Table2[[#This Row],[year]],
Teams[college]&amp;Teams[division]&amp;Teams[year],
Teams[placing], "NA")</f>
        <v>9</v>
      </c>
      <c r="F924" s="1" cm="1">
        <f t="array" ref="F924">_xlfn.XLOOKUP(Table2[[#This Row],[college]]&amp;Table2[[#This Row],[division]]&amp;Table2[[#This Row],[year]],
Teams[college]&amp;Teams[division]&amp;Teams[year],
Teams[finish], "NA")</f>
        <v>0.68680555555555556</v>
      </c>
    </row>
    <row r="925" spans="1:6" x14ac:dyDescent="0.3">
      <c r="A925" t="s">
        <v>256</v>
      </c>
      <c r="B925" t="s">
        <v>250</v>
      </c>
      <c r="C925">
        <v>4</v>
      </c>
      <c r="D925">
        <v>2026</v>
      </c>
      <c r="E925" cm="1">
        <f t="array" ref="E925">_xlfn.XLOOKUP(Table2[[#This Row],[college]]&amp;Table2[[#This Row],[division]]&amp;Table2[[#This Row],[year]],
Teams[college]&amp;Teams[division]&amp;Teams[year],
Teams[placing], "NA")</f>
        <v>0</v>
      </c>
      <c r="F925" s="1" cm="1">
        <f t="array" ref="F925">_xlfn.XLOOKUP(Table2[[#This Row],[college]]&amp;Table2[[#This Row],[division]]&amp;Table2[[#This Row],[year]],
Teams[college]&amp;Teams[division]&amp;Teams[year],
Teams[finish], "NA")</f>
        <v>0</v>
      </c>
    </row>
    <row r="926" spans="1:6" x14ac:dyDescent="0.3">
      <c r="A926" t="s">
        <v>190</v>
      </c>
      <c r="B926" t="s">
        <v>132</v>
      </c>
      <c r="C926">
        <v>7</v>
      </c>
      <c r="D926">
        <v>2025</v>
      </c>
      <c r="E926" cm="1">
        <f t="array" ref="E926">_xlfn.XLOOKUP(Table2[[#This Row],[college]]&amp;Table2[[#This Row],[division]]&amp;Table2[[#This Row],[year]],
Teams[college]&amp;Teams[division]&amp;Teams[year],
Teams[placing], "NA")</f>
        <v>2</v>
      </c>
      <c r="F926" s="1" cm="1">
        <f t="array" ref="F926">_xlfn.XLOOKUP(Table2[[#This Row],[college]]&amp;Table2[[#This Row],[division]]&amp;Table2[[#This Row],[year]],
Teams[college]&amp;Teams[division]&amp;Teams[year],
Teams[finish], "NA")</f>
        <v>0.48402777777777778</v>
      </c>
    </row>
    <row r="927" spans="1:6" x14ac:dyDescent="0.3">
      <c r="A927" t="s">
        <v>190</v>
      </c>
      <c r="B927" t="s">
        <v>132</v>
      </c>
      <c r="C927">
        <v>3</v>
      </c>
      <c r="D927">
        <v>2026</v>
      </c>
      <c r="E927" cm="1">
        <f t="array" ref="E927">_xlfn.XLOOKUP(Table2[[#This Row],[college]]&amp;Table2[[#This Row],[division]]&amp;Table2[[#This Row],[year]],
Teams[college]&amp;Teams[division]&amp;Teams[year],
Teams[placing], "NA")</f>
        <v>0</v>
      </c>
      <c r="F927" s="1" cm="1">
        <f t="array" ref="F927">_xlfn.XLOOKUP(Table2[[#This Row],[college]]&amp;Table2[[#This Row],[division]]&amp;Table2[[#This Row],[year]],
Teams[college]&amp;Teams[division]&amp;Teams[year],
Teams[finish], "NA")</f>
        <v>0</v>
      </c>
    </row>
    <row r="928" spans="1:6" x14ac:dyDescent="0.3">
      <c r="A928" t="s">
        <v>513</v>
      </c>
      <c r="B928" t="s">
        <v>754</v>
      </c>
      <c r="C928">
        <v>6</v>
      </c>
      <c r="D928">
        <v>2023</v>
      </c>
      <c r="E928" t="str" cm="1">
        <f t="array" ref="E928">_xlfn.XLOOKUP(Table2[[#This Row],[college]]&amp;Table2[[#This Row],[division]]&amp;Table2[[#This Row],[year]],
Teams[college]&amp;Teams[division]&amp;Teams[year],
Teams[placing], "NA")</f>
        <v>NA</v>
      </c>
      <c r="F928" s="1" cm="1">
        <f t="array" ref="F928">_xlfn.XLOOKUP(Table2[[#This Row],[college]]&amp;Table2[[#This Row],[division]]&amp;Table2[[#This Row],[year]],
Teams[college]&amp;Teams[division]&amp;Teams[year],
Teams[finish], "NA")</f>
        <v>0.60416666666666663</v>
      </c>
    </row>
    <row r="929" spans="1:6" x14ac:dyDescent="0.3">
      <c r="A929" t="s">
        <v>763</v>
      </c>
      <c r="B929" t="s">
        <v>250</v>
      </c>
      <c r="C929">
        <v>3</v>
      </c>
      <c r="D929">
        <v>2024</v>
      </c>
      <c r="E929" cm="1">
        <f t="array" ref="E929">_xlfn.XLOOKUP(Table2[[#This Row],[college]]&amp;Table2[[#This Row],[division]]&amp;Table2[[#This Row],[year]],
Teams[college]&amp;Teams[division]&amp;Teams[year],
Teams[placing], "NA")</f>
        <v>1</v>
      </c>
      <c r="F929" s="1" cm="1">
        <f t="array" ref="F929">_xlfn.XLOOKUP(Table2[[#This Row],[college]]&amp;Table2[[#This Row],[division]]&amp;Table2[[#This Row],[year]],
Teams[college]&amp;Teams[division]&amp;Teams[year],
Teams[finish], "NA")</f>
        <v>0.55833333333333335</v>
      </c>
    </row>
    <row r="930" spans="1:6" x14ac:dyDescent="0.3">
      <c r="A930" t="s">
        <v>763</v>
      </c>
      <c r="B930" t="s">
        <v>250</v>
      </c>
      <c r="C930">
        <v>2</v>
      </c>
      <c r="D930">
        <v>2023</v>
      </c>
      <c r="E930" t="str" cm="1">
        <f t="array" ref="E930">_xlfn.XLOOKUP(Table2[[#This Row],[college]]&amp;Table2[[#This Row],[division]]&amp;Table2[[#This Row],[year]],
Teams[college]&amp;Teams[division]&amp;Teams[year],
Teams[placing], "NA")</f>
        <v>DNF</v>
      </c>
      <c r="F930" s="1" t="str" cm="1">
        <f t="array" ref="F930">_xlfn.XLOOKUP(Table2[[#This Row],[college]]&amp;Table2[[#This Row],[division]]&amp;Table2[[#This Row],[year]],
Teams[college]&amp;Teams[division]&amp;Teams[year],
Teams[finish], "NA")</f>
        <v>NA</v>
      </c>
    </row>
    <row r="931" spans="1:6" x14ac:dyDescent="0.3">
      <c r="A931" t="s">
        <v>360</v>
      </c>
      <c r="B931" t="s">
        <v>758</v>
      </c>
      <c r="C931">
        <v>5</v>
      </c>
      <c r="D931">
        <v>2024</v>
      </c>
      <c r="E931" t="str" cm="1">
        <f t="array" ref="E931">_xlfn.XLOOKUP(Table2[[#This Row],[college]]&amp;Table2[[#This Row],[division]]&amp;Table2[[#This Row],[year]],
Teams[college]&amp;Teams[division]&amp;Teams[year],
Teams[placing], "NA")</f>
        <v>DNF</v>
      </c>
      <c r="F931" s="1" t="str" cm="1">
        <f t="array" ref="F931">_xlfn.XLOOKUP(Table2[[#This Row],[college]]&amp;Table2[[#This Row],[division]]&amp;Table2[[#This Row],[year]],
Teams[college]&amp;Teams[division]&amp;Teams[year],
Teams[finish], "NA")</f>
        <v>NA</v>
      </c>
    </row>
    <row r="932" spans="1:6" x14ac:dyDescent="0.3">
      <c r="A932" t="s">
        <v>671</v>
      </c>
      <c r="B932" t="s">
        <v>15</v>
      </c>
      <c r="C932">
        <v>1</v>
      </c>
      <c r="D932">
        <v>2022</v>
      </c>
      <c r="E932" cm="1">
        <f t="array" ref="E932">_xlfn.XLOOKUP(Table2[[#This Row],[college]]&amp;Table2[[#This Row],[division]]&amp;Table2[[#This Row],[year]],
Teams[college]&amp;Teams[division]&amp;Teams[year],
Teams[placing], "NA")</f>
        <v>2</v>
      </c>
      <c r="F932" s="1" cm="1">
        <f t="array" ref="F932">_xlfn.XLOOKUP(Table2[[#This Row],[college]]&amp;Table2[[#This Row],[division]]&amp;Table2[[#This Row],[year]],
Teams[college]&amp;Teams[division]&amp;Teams[year],
Teams[finish], "NA")</f>
        <v>0.48402777777777778</v>
      </c>
    </row>
    <row r="933" spans="1:6" x14ac:dyDescent="0.3">
      <c r="A933" t="s">
        <v>414</v>
      </c>
      <c r="B933" t="s">
        <v>123</v>
      </c>
      <c r="C933">
        <v>3</v>
      </c>
      <c r="D933">
        <v>2024</v>
      </c>
      <c r="E933" t="str" cm="1">
        <f t="array" ref="E933">_xlfn.XLOOKUP(Table2[[#This Row],[college]]&amp;Table2[[#This Row],[division]]&amp;Table2[[#This Row],[year]],
Teams[college]&amp;Teams[division]&amp;Teams[year],
Teams[placing], "NA")</f>
        <v>DNF</v>
      </c>
      <c r="F933" s="1" t="str" cm="1">
        <f t="array" ref="F933">_xlfn.XLOOKUP(Table2[[#This Row],[college]]&amp;Table2[[#This Row],[division]]&amp;Table2[[#This Row],[year]],
Teams[college]&amp;Teams[division]&amp;Teams[year],
Teams[finish], "NA")</f>
        <v>NA</v>
      </c>
    </row>
    <row r="934" spans="1:6" x14ac:dyDescent="0.3">
      <c r="A934" t="s">
        <v>111</v>
      </c>
      <c r="B934" t="s">
        <v>15</v>
      </c>
      <c r="C934">
        <v>7</v>
      </c>
      <c r="D934">
        <v>2025</v>
      </c>
      <c r="E934" cm="1">
        <f t="array" ref="E934">_xlfn.XLOOKUP(Table2[[#This Row],[college]]&amp;Table2[[#This Row],[division]]&amp;Table2[[#This Row],[year]],
Teams[college]&amp;Teams[division]&amp;Teams[year],
Teams[placing], "NA")</f>
        <v>5</v>
      </c>
      <c r="F934" s="1" cm="1">
        <f t="array" ref="F934">_xlfn.XLOOKUP(Table2[[#This Row],[college]]&amp;Table2[[#This Row],[division]]&amp;Table2[[#This Row],[year]],
Teams[college]&amp;Teams[division]&amp;Teams[year],
Teams[finish], "NA")</f>
        <v>0.51388888888888884</v>
      </c>
    </row>
    <row r="935" spans="1:6" x14ac:dyDescent="0.3">
      <c r="A935" t="s">
        <v>111</v>
      </c>
      <c r="B935" t="s">
        <v>15</v>
      </c>
      <c r="C935">
        <v>6</v>
      </c>
      <c r="D935">
        <v>2023</v>
      </c>
      <c r="E935" cm="1">
        <f t="array" ref="E935">_xlfn.XLOOKUP(Table2[[#This Row],[college]]&amp;Table2[[#This Row],[division]]&amp;Table2[[#This Row],[year]],
Teams[college]&amp;Teams[division]&amp;Teams[year],
Teams[placing], "NA")</f>
        <v>3</v>
      </c>
      <c r="F935" s="1" cm="1">
        <f t="array" ref="F935">_xlfn.XLOOKUP(Table2[[#This Row],[college]]&amp;Table2[[#This Row],[division]]&amp;Table2[[#This Row],[year]],
Teams[college]&amp;Teams[division]&amp;Teams[year],
Teams[finish], "NA")</f>
        <v>0.56180555555555556</v>
      </c>
    </row>
    <row r="936" spans="1:6" x14ac:dyDescent="0.3">
      <c r="A936" t="s">
        <v>111</v>
      </c>
      <c r="B936" t="s">
        <v>15</v>
      </c>
      <c r="C936">
        <v>3</v>
      </c>
      <c r="D936">
        <v>2024</v>
      </c>
      <c r="E936" t="str" cm="1">
        <f t="array" ref="E936">_xlfn.XLOOKUP(Table2[[#This Row],[college]]&amp;Table2[[#This Row],[division]]&amp;Table2[[#This Row],[year]],
Teams[college]&amp;Teams[division]&amp;Teams[year],
Teams[placing], "NA")</f>
        <v>DQ</v>
      </c>
      <c r="F936" s="1" t="str" cm="1">
        <f t="array" ref="F936">_xlfn.XLOOKUP(Table2[[#This Row],[college]]&amp;Table2[[#This Row],[division]]&amp;Table2[[#This Row],[year]],
Teams[college]&amp;Teams[division]&amp;Teams[year],
Teams[finish], "NA")</f>
        <v>NA</v>
      </c>
    </row>
    <row r="937" spans="1:6" x14ac:dyDescent="0.3">
      <c r="A937" t="s">
        <v>271</v>
      </c>
      <c r="B937" t="s">
        <v>250</v>
      </c>
      <c r="C937">
        <v>4</v>
      </c>
      <c r="D937">
        <v>2025</v>
      </c>
      <c r="E937" cm="1">
        <f t="array" ref="E937">_xlfn.XLOOKUP(Table2[[#This Row],[college]]&amp;Table2[[#This Row],[division]]&amp;Table2[[#This Row],[year]],
Teams[college]&amp;Teams[division]&amp;Teams[year],
Teams[placing], "NA")</f>
        <v>8</v>
      </c>
      <c r="F937" s="1" cm="1">
        <f t="array" ref="F937">_xlfn.XLOOKUP(Table2[[#This Row],[college]]&amp;Table2[[#This Row],[division]]&amp;Table2[[#This Row],[year]],
Teams[college]&amp;Teams[division]&amp;Teams[year],
Teams[finish], "NA")</f>
        <v>0.6875</v>
      </c>
    </row>
    <row r="938" spans="1:6" x14ac:dyDescent="0.3">
      <c r="A938" t="s">
        <v>271</v>
      </c>
      <c r="B938" t="s">
        <v>250</v>
      </c>
      <c r="C938">
        <v>7</v>
      </c>
      <c r="D938">
        <v>2024</v>
      </c>
      <c r="E938" t="str" cm="1">
        <f t="array" ref="E938">_xlfn.XLOOKUP(Table2[[#This Row],[college]]&amp;Table2[[#This Row],[division]]&amp;Table2[[#This Row],[year]],
Teams[college]&amp;Teams[division]&amp;Teams[year],
Teams[placing], "NA")</f>
        <v>DNF</v>
      </c>
      <c r="F938" s="1" t="str" cm="1">
        <f t="array" ref="F938">_xlfn.XLOOKUP(Table2[[#This Row],[college]]&amp;Table2[[#This Row],[division]]&amp;Table2[[#This Row],[year]],
Teams[college]&amp;Teams[division]&amp;Teams[year],
Teams[finish], "NA")</f>
        <v>NA</v>
      </c>
    </row>
    <row r="939" spans="1:6" x14ac:dyDescent="0.3">
      <c r="A939" t="s">
        <v>950</v>
      </c>
      <c r="B939" t="s">
        <v>48</v>
      </c>
      <c r="C939">
        <v>7</v>
      </c>
      <c r="D939">
        <v>2026</v>
      </c>
      <c r="E939" cm="1">
        <f t="array" ref="E939">_xlfn.XLOOKUP(Table2[[#This Row],[college]]&amp;Table2[[#This Row],[division]]&amp;Table2[[#This Row],[year]],
Teams[college]&amp;Teams[division]&amp;Teams[year],
Teams[placing], "NA")</f>
        <v>0</v>
      </c>
      <c r="F939" s="1" cm="1">
        <f t="array" ref="F939">_xlfn.XLOOKUP(Table2[[#This Row],[college]]&amp;Table2[[#This Row],[division]]&amp;Table2[[#This Row],[year]],
Teams[college]&amp;Teams[division]&amp;Teams[year],
Teams[finish], "NA")</f>
        <v>0</v>
      </c>
    </row>
    <row r="940" spans="1:6" x14ac:dyDescent="0.3">
      <c r="A940" t="s">
        <v>955</v>
      </c>
      <c r="B940" t="s">
        <v>15</v>
      </c>
      <c r="C940">
        <v>7</v>
      </c>
      <c r="D940">
        <v>2026</v>
      </c>
      <c r="E940" cm="1">
        <f t="array" ref="E940">_xlfn.XLOOKUP(Table2[[#This Row],[college]]&amp;Table2[[#This Row],[division]]&amp;Table2[[#This Row],[year]],
Teams[college]&amp;Teams[division]&amp;Teams[year],
Teams[placing], "NA")</f>
        <v>0</v>
      </c>
      <c r="F940" s="1" cm="1">
        <f t="array" ref="F940">_xlfn.XLOOKUP(Table2[[#This Row],[college]]&amp;Table2[[#This Row],[division]]&amp;Table2[[#This Row],[year]],
Teams[college]&amp;Teams[division]&amp;Teams[year],
Teams[finish], "NA")</f>
        <v>0</v>
      </c>
    </row>
    <row r="941" spans="1:6" x14ac:dyDescent="0.3">
      <c r="A941" t="s">
        <v>186</v>
      </c>
      <c r="B941" t="s">
        <v>123</v>
      </c>
      <c r="C941">
        <v>7</v>
      </c>
      <c r="D941">
        <v>2025</v>
      </c>
      <c r="E941" cm="1">
        <f t="array" ref="E941">_xlfn.XLOOKUP(Table2[[#This Row],[college]]&amp;Table2[[#This Row],[division]]&amp;Table2[[#This Row],[year]],
Teams[college]&amp;Teams[division]&amp;Teams[year],
Teams[placing], "NA")</f>
        <v>11</v>
      </c>
      <c r="F941" s="1" cm="1">
        <f t="array" ref="F941">_xlfn.XLOOKUP(Table2[[#This Row],[college]]&amp;Table2[[#This Row],[division]]&amp;Table2[[#This Row],[year]],
Teams[college]&amp;Teams[division]&amp;Teams[year],
Teams[finish], "NA")</f>
        <v>0.63472222222222219</v>
      </c>
    </row>
    <row r="942" spans="1:6" x14ac:dyDescent="0.3">
      <c r="A942" t="s">
        <v>592</v>
      </c>
      <c r="B942" t="s">
        <v>137</v>
      </c>
      <c r="C942">
        <v>6</v>
      </c>
      <c r="D942">
        <v>2023</v>
      </c>
      <c r="E942" cm="1">
        <f t="array" ref="E942">_xlfn.XLOOKUP(Table2[[#This Row],[college]]&amp;Table2[[#This Row],[division]]&amp;Table2[[#This Row],[year]],
Teams[college]&amp;Teams[division]&amp;Teams[year],
Teams[placing], "NA")</f>
        <v>9</v>
      </c>
      <c r="F942" s="1" cm="1">
        <f t="array" ref="F942">_xlfn.XLOOKUP(Table2[[#This Row],[college]]&amp;Table2[[#This Row],[division]]&amp;Table2[[#This Row],[year]],
Teams[college]&amp;Teams[division]&amp;Teams[year],
Teams[finish], "NA")</f>
        <v>0.68194444444444446</v>
      </c>
    </row>
    <row r="943" spans="1:6" x14ac:dyDescent="0.3">
      <c r="A943" t="s">
        <v>153</v>
      </c>
      <c r="B943" t="s">
        <v>137</v>
      </c>
      <c r="C943">
        <v>1</v>
      </c>
      <c r="D943">
        <v>2025</v>
      </c>
      <c r="E943" cm="1">
        <f t="array" ref="E943">_xlfn.XLOOKUP(Table2[[#This Row],[college]]&amp;Table2[[#This Row],[division]]&amp;Table2[[#This Row],[year]],
Teams[college]&amp;Teams[division]&amp;Teams[year],
Teams[placing], "NA")</f>
        <v>5</v>
      </c>
      <c r="F943" s="1" cm="1">
        <f t="array" ref="F943">_xlfn.XLOOKUP(Table2[[#This Row],[college]]&amp;Table2[[#This Row],[division]]&amp;Table2[[#This Row],[year]],
Teams[college]&amp;Teams[division]&amp;Teams[year],
Teams[finish], "NA")</f>
        <v>0.59861111111111109</v>
      </c>
    </row>
    <row r="944" spans="1:6" x14ac:dyDescent="0.3">
      <c r="A944" t="s">
        <v>153</v>
      </c>
      <c r="B944" t="s">
        <v>137</v>
      </c>
      <c r="C944">
        <v>4</v>
      </c>
      <c r="D944">
        <v>2024</v>
      </c>
      <c r="E944" cm="1">
        <f t="array" ref="E944">_xlfn.XLOOKUP(Table2[[#This Row],[college]]&amp;Table2[[#This Row],[division]]&amp;Table2[[#This Row],[year]],
Teams[college]&amp;Teams[division]&amp;Teams[year],
Teams[placing], "NA")</f>
        <v>3</v>
      </c>
      <c r="F944" s="1" cm="1">
        <f t="array" ref="F944">_xlfn.XLOOKUP(Table2[[#This Row],[college]]&amp;Table2[[#This Row],[division]]&amp;Table2[[#This Row],[year]],
Teams[college]&amp;Teams[division]&amp;Teams[year],
Teams[finish], "NA")</f>
        <v>0.64722222222222225</v>
      </c>
    </row>
    <row r="945" spans="1:6" x14ac:dyDescent="0.3">
      <c r="A945" t="s">
        <v>294</v>
      </c>
      <c r="B945" t="s">
        <v>266</v>
      </c>
      <c r="C945">
        <v>7</v>
      </c>
      <c r="D945">
        <v>2025</v>
      </c>
      <c r="E945" cm="1">
        <f t="array" ref="E945">_xlfn.XLOOKUP(Table2[[#This Row],[college]]&amp;Table2[[#This Row],[division]]&amp;Table2[[#This Row],[year]],
Teams[college]&amp;Teams[division]&amp;Teams[year],
Teams[placing], "NA")</f>
        <v>6</v>
      </c>
      <c r="F945" s="1" cm="1">
        <f t="array" ref="F945">_xlfn.XLOOKUP(Table2[[#This Row],[college]]&amp;Table2[[#This Row],[division]]&amp;Table2[[#This Row],[year]],
Teams[college]&amp;Teams[division]&amp;Teams[year],
Teams[finish], "NA")</f>
        <v>0.51597222222222228</v>
      </c>
    </row>
    <row r="946" spans="1:6" x14ac:dyDescent="0.3">
      <c r="A946" t="s">
        <v>294</v>
      </c>
      <c r="B946" t="s">
        <v>266</v>
      </c>
      <c r="C946">
        <v>6</v>
      </c>
      <c r="D946">
        <v>2024</v>
      </c>
      <c r="E946" t="str" cm="1">
        <f t="array" ref="E946">_xlfn.XLOOKUP(Table2[[#This Row],[college]]&amp;Table2[[#This Row],[division]]&amp;Table2[[#This Row],[year]],
Teams[college]&amp;Teams[division]&amp;Teams[year],
Teams[placing], "NA")</f>
        <v>DNF</v>
      </c>
      <c r="F946" s="1" t="str" cm="1">
        <f t="array" ref="F946">_xlfn.XLOOKUP(Table2[[#This Row],[college]]&amp;Table2[[#This Row],[division]]&amp;Table2[[#This Row],[year]],
Teams[college]&amp;Teams[division]&amp;Teams[year],
Teams[finish], "NA")</f>
        <v>NA</v>
      </c>
    </row>
    <row r="947" spans="1:6" x14ac:dyDescent="0.3">
      <c r="A947" t="s">
        <v>540</v>
      </c>
      <c r="B947" t="s">
        <v>5</v>
      </c>
      <c r="C947">
        <v>6</v>
      </c>
      <c r="D947">
        <v>2022</v>
      </c>
      <c r="E947" cm="1">
        <f t="array" ref="E947">_xlfn.XLOOKUP(Table2[[#This Row],[college]]&amp;Table2[[#This Row],[division]]&amp;Table2[[#This Row],[year]],
Teams[college]&amp;Teams[division]&amp;Teams[year],
Teams[placing], "NA")</f>
        <v>6</v>
      </c>
      <c r="F947" s="1" cm="1">
        <f t="array" ref="F947">_xlfn.XLOOKUP(Table2[[#This Row],[college]]&amp;Table2[[#This Row],[division]]&amp;Table2[[#This Row],[year]],
Teams[college]&amp;Teams[division]&amp;Teams[year],
Teams[finish], "NA")</f>
        <v>0.64097222222222217</v>
      </c>
    </row>
    <row r="948" spans="1:6" x14ac:dyDescent="0.3">
      <c r="A948" t="s">
        <v>540</v>
      </c>
      <c r="B948" t="s">
        <v>5</v>
      </c>
      <c r="C948">
        <v>6</v>
      </c>
      <c r="D948">
        <v>2023</v>
      </c>
      <c r="E948" cm="1">
        <f t="array" ref="E948">_xlfn.XLOOKUP(Table2[[#This Row],[college]]&amp;Table2[[#This Row],[division]]&amp;Table2[[#This Row],[year]],
Teams[college]&amp;Teams[division]&amp;Teams[year],
Teams[placing], "NA")</f>
        <v>8</v>
      </c>
      <c r="F948" s="1" cm="1">
        <f t="array" ref="F948">_xlfn.XLOOKUP(Table2[[#This Row],[college]]&amp;Table2[[#This Row],[division]]&amp;Table2[[#This Row],[year]],
Teams[college]&amp;Teams[division]&amp;Teams[year],
Teams[finish], "NA")</f>
        <v>0.67222222222222228</v>
      </c>
    </row>
    <row r="949" spans="1:6" x14ac:dyDescent="0.3">
      <c r="A949" t="s">
        <v>136</v>
      </c>
      <c r="B949" t="s">
        <v>137</v>
      </c>
      <c r="C949">
        <v>2</v>
      </c>
      <c r="D949">
        <v>2024</v>
      </c>
      <c r="E949" cm="1">
        <f t="array" ref="E949">_xlfn.XLOOKUP(Table2[[#This Row],[college]]&amp;Table2[[#This Row],[division]]&amp;Table2[[#This Row],[year]],
Teams[college]&amp;Teams[division]&amp;Teams[year],
Teams[placing], "NA")</f>
        <v>3</v>
      </c>
      <c r="F949" s="1" cm="1">
        <f t="array" ref="F949">_xlfn.XLOOKUP(Table2[[#This Row],[college]]&amp;Table2[[#This Row],[division]]&amp;Table2[[#This Row],[year]],
Teams[college]&amp;Teams[division]&amp;Teams[year],
Teams[finish], "NA")</f>
        <v>0.52916666666666667</v>
      </c>
    </row>
    <row r="950" spans="1:6" x14ac:dyDescent="0.3">
      <c r="A950" t="s">
        <v>136</v>
      </c>
      <c r="B950" t="s">
        <v>137</v>
      </c>
      <c r="C950">
        <v>6</v>
      </c>
      <c r="D950">
        <v>2025</v>
      </c>
      <c r="E950" cm="1">
        <f t="array" ref="E950">_xlfn.XLOOKUP(Table2[[#This Row],[college]]&amp;Table2[[#This Row],[division]]&amp;Table2[[#This Row],[year]],
Teams[college]&amp;Teams[division]&amp;Teams[year],
Teams[placing], "NA")</f>
        <v>6</v>
      </c>
      <c r="F950" s="1" cm="1">
        <f t="array" ref="F950">_xlfn.XLOOKUP(Table2[[#This Row],[college]]&amp;Table2[[#This Row],[division]]&amp;Table2[[#This Row],[year]],
Teams[college]&amp;Teams[division]&amp;Teams[year],
Teams[finish], "NA")</f>
        <v>0.56944444444444442</v>
      </c>
    </row>
    <row r="951" spans="1:6" x14ac:dyDescent="0.3">
      <c r="A951" t="s">
        <v>136</v>
      </c>
      <c r="B951" t="s">
        <v>137</v>
      </c>
      <c r="C951">
        <v>3</v>
      </c>
      <c r="D951">
        <v>2023</v>
      </c>
      <c r="E951" cm="1">
        <f t="array" ref="E951">_xlfn.XLOOKUP(Table2[[#This Row],[college]]&amp;Table2[[#This Row],[division]]&amp;Table2[[#This Row],[year]],
Teams[college]&amp;Teams[division]&amp;Teams[year],
Teams[placing], "NA")</f>
        <v>4</v>
      </c>
      <c r="F951" s="1" cm="1">
        <f t="array" ref="F951">_xlfn.XLOOKUP(Table2[[#This Row],[college]]&amp;Table2[[#This Row],[division]]&amp;Table2[[#This Row],[year]],
Teams[college]&amp;Teams[division]&amp;Teams[year],
Teams[finish], "NA")</f>
        <v>0.65208333333333335</v>
      </c>
    </row>
    <row r="952" spans="1:6" x14ac:dyDescent="0.3">
      <c r="A952" t="s">
        <v>136</v>
      </c>
      <c r="B952" t="s">
        <v>787</v>
      </c>
      <c r="C952">
        <v>2</v>
      </c>
      <c r="D952">
        <v>2026</v>
      </c>
      <c r="E952" t="str" cm="1">
        <f t="array" ref="E952">_xlfn.XLOOKUP(Table2[[#This Row],[college]]&amp;Table2[[#This Row],[division]]&amp;Table2[[#This Row],[year]],
Teams[college]&amp;Teams[division]&amp;Teams[year],
Teams[placing], "NA")</f>
        <v>NA</v>
      </c>
      <c r="F952" s="1" t="str" cm="1">
        <f t="array" ref="F952">_xlfn.XLOOKUP(Table2[[#This Row],[college]]&amp;Table2[[#This Row],[division]]&amp;Table2[[#This Row],[year]],
Teams[college]&amp;Teams[division]&amp;Teams[year],
Teams[finish], "NA")</f>
        <v>NA</v>
      </c>
    </row>
    <row r="953" spans="1:6" x14ac:dyDescent="0.3">
      <c r="A953" t="s">
        <v>243</v>
      </c>
      <c r="B953" t="s">
        <v>241</v>
      </c>
      <c r="C953">
        <v>4</v>
      </c>
      <c r="D953">
        <v>2025</v>
      </c>
      <c r="E953" cm="1">
        <f t="array" ref="E953">_xlfn.XLOOKUP(Table2[[#This Row],[college]]&amp;Table2[[#This Row],[division]]&amp;Table2[[#This Row],[year]],
Teams[college]&amp;Teams[division]&amp;Teams[year],
Teams[placing], "NA")</f>
        <v>4</v>
      </c>
      <c r="F953" s="1" cm="1">
        <f t="array" ref="F953">_xlfn.XLOOKUP(Table2[[#This Row],[college]]&amp;Table2[[#This Row],[division]]&amp;Table2[[#This Row],[year]],
Teams[college]&amp;Teams[division]&amp;Teams[year],
Teams[finish], "NA")</f>
        <v>0.59652777777777777</v>
      </c>
    </row>
    <row r="954" spans="1:6" x14ac:dyDescent="0.3">
      <c r="A954" t="s">
        <v>243</v>
      </c>
      <c r="B954" t="s">
        <v>241</v>
      </c>
      <c r="C954">
        <v>5</v>
      </c>
      <c r="D954">
        <v>2024</v>
      </c>
      <c r="E954" t="str" cm="1">
        <f t="array" ref="E954">_xlfn.XLOOKUP(Table2[[#This Row],[college]]&amp;Table2[[#This Row],[division]]&amp;Table2[[#This Row],[year]],
Teams[college]&amp;Teams[division]&amp;Teams[year],
Teams[placing], "NA")</f>
        <v>DNF</v>
      </c>
      <c r="F954" s="1" t="str" cm="1">
        <f t="array" ref="F954">_xlfn.XLOOKUP(Table2[[#This Row],[college]]&amp;Table2[[#This Row],[division]]&amp;Table2[[#This Row],[year]],
Teams[college]&amp;Teams[division]&amp;Teams[year],
Teams[finish], "NA")</f>
        <v>NA</v>
      </c>
    </row>
    <row r="955" spans="1:6" x14ac:dyDescent="0.3">
      <c r="A955" t="s">
        <v>184</v>
      </c>
      <c r="B955" t="s">
        <v>132</v>
      </c>
      <c r="C955">
        <v>4</v>
      </c>
      <c r="D955">
        <v>2025</v>
      </c>
      <c r="E955" cm="1">
        <f t="array" ref="E955">_xlfn.XLOOKUP(Table2[[#This Row],[college]]&amp;Table2[[#This Row],[division]]&amp;Table2[[#This Row],[year]],
Teams[college]&amp;Teams[division]&amp;Teams[year],
Teams[placing], "NA")</f>
        <v>5</v>
      </c>
      <c r="F955" s="1" cm="1">
        <f t="array" ref="F955">_xlfn.XLOOKUP(Table2[[#This Row],[college]]&amp;Table2[[#This Row],[division]]&amp;Table2[[#This Row],[year]],
Teams[college]&amp;Teams[division]&amp;Teams[year],
Teams[finish], "NA")</f>
        <v>0.63680555555555551</v>
      </c>
    </row>
    <row r="956" spans="1:6" x14ac:dyDescent="0.3">
      <c r="A956" t="s">
        <v>184</v>
      </c>
      <c r="B956" t="s">
        <v>132</v>
      </c>
      <c r="C956">
        <v>5</v>
      </c>
      <c r="D956">
        <v>2023</v>
      </c>
      <c r="E956" t="str" cm="1">
        <f t="array" ref="E956">_xlfn.XLOOKUP(Table2[[#This Row],[college]]&amp;Table2[[#This Row],[division]]&amp;Table2[[#This Row],[year]],
Teams[college]&amp;Teams[division]&amp;Teams[year],
Teams[placing], "NA")</f>
        <v>DNF</v>
      </c>
      <c r="F956" s="1" t="str" cm="1">
        <f t="array" ref="F956">_xlfn.XLOOKUP(Table2[[#This Row],[college]]&amp;Table2[[#This Row],[division]]&amp;Table2[[#This Row],[year]],
Teams[college]&amp;Teams[division]&amp;Teams[year],
Teams[finish], "NA")</f>
        <v>NA</v>
      </c>
    </row>
    <row r="957" spans="1:6" x14ac:dyDescent="0.3">
      <c r="A957" t="s">
        <v>184</v>
      </c>
      <c r="B957" t="s">
        <v>766</v>
      </c>
      <c r="C957">
        <v>7</v>
      </c>
      <c r="D957">
        <v>2026</v>
      </c>
      <c r="E957" cm="1">
        <f t="array" ref="E957">_xlfn.XLOOKUP(Table2[[#This Row],[college]]&amp;Table2[[#This Row],[division]]&amp;Table2[[#This Row],[year]],
Teams[college]&amp;Teams[division]&amp;Teams[year],
Teams[placing], "NA")</f>
        <v>0</v>
      </c>
      <c r="F957" s="1" cm="1">
        <f t="array" ref="F957">_xlfn.XLOOKUP(Table2[[#This Row],[college]]&amp;Table2[[#This Row],[division]]&amp;Table2[[#This Row],[year]],
Teams[college]&amp;Teams[division]&amp;Teams[year],
Teams[finish], "NA")</f>
        <v>0</v>
      </c>
    </row>
    <row r="958" spans="1:6" x14ac:dyDescent="0.3">
      <c r="A958" t="s">
        <v>194</v>
      </c>
      <c r="B958" t="s">
        <v>137</v>
      </c>
      <c r="C958">
        <v>7</v>
      </c>
      <c r="D958">
        <v>2025</v>
      </c>
      <c r="E958" cm="1">
        <f t="array" ref="E958">_xlfn.XLOOKUP(Table2[[#This Row],[college]]&amp;Table2[[#This Row],[division]]&amp;Table2[[#This Row],[year]],
Teams[college]&amp;Teams[division]&amp;Teams[year],
Teams[placing], "NA")</f>
        <v>8</v>
      </c>
      <c r="F958" s="1" cm="1">
        <f t="array" ref="F958">_xlfn.XLOOKUP(Table2[[#This Row],[college]]&amp;Table2[[#This Row],[division]]&amp;Table2[[#This Row],[year]],
Teams[college]&amp;Teams[division]&amp;Teams[year],
Teams[finish], "NA")</f>
        <v>0.55277777777777781</v>
      </c>
    </row>
    <row r="959" spans="1:6" x14ac:dyDescent="0.3">
      <c r="A959" t="s">
        <v>194</v>
      </c>
      <c r="B959" t="s">
        <v>137</v>
      </c>
      <c r="C959">
        <v>7</v>
      </c>
      <c r="D959">
        <v>2024</v>
      </c>
      <c r="E959" cm="1">
        <f t="array" ref="E959">_xlfn.XLOOKUP(Table2[[#This Row],[college]]&amp;Table2[[#This Row],[division]]&amp;Table2[[#This Row],[year]],
Teams[college]&amp;Teams[division]&amp;Teams[year],
Teams[placing], "NA")</f>
        <v>2</v>
      </c>
      <c r="F959" s="1" cm="1">
        <f t="array" ref="F959">_xlfn.XLOOKUP(Table2[[#This Row],[college]]&amp;Table2[[#This Row],[division]]&amp;Table2[[#This Row],[year]],
Teams[college]&amp;Teams[division]&amp;Teams[year],
Teams[finish], "NA")</f>
        <v>0.56736111111111109</v>
      </c>
    </row>
    <row r="960" spans="1:6" x14ac:dyDescent="0.3">
      <c r="A960" t="s">
        <v>600</v>
      </c>
      <c r="B960" t="s">
        <v>137</v>
      </c>
      <c r="C960">
        <v>4</v>
      </c>
      <c r="D960">
        <v>2023</v>
      </c>
      <c r="E960" cm="1">
        <f t="array" ref="E960">_xlfn.XLOOKUP(Table2[[#This Row],[college]]&amp;Table2[[#This Row],[division]]&amp;Table2[[#This Row],[year]],
Teams[college]&amp;Teams[division]&amp;Teams[year],
Teams[placing], "NA")</f>
        <v>1</v>
      </c>
      <c r="F960" s="1" cm="1">
        <f t="array" ref="F960">_xlfn.XLOOKUP(Table2[[#This Row],[college]]&amp;Table2[[#This Row],[division]]&amp;Table2[[#This Row],[year]],
Teams[college]&amp;Teams[division]&amp;Teams[year],
Teams[finish], "NA")</f>
        <v>0.52777777777777779</v>
      </c>
    </row>
    <row r="961" spans="1:6" x14ac:dyDescent="0.3">
      <c r="A961" t="s">
        <v>894</v>
      </c>
      <c r="B961" t="s">
        <v>787</v>
      </c>
      <c r="C961">
        <v>5</v>
      </c>
      <c r="D961">
        <v>2026</v>
      </c>
      <c r="E961" t="str" cm="1">
        <f t="array" ref="E961">_xlfn.XLOOKUP(Table2[[#This Row],[college]]&amp;Table2[[#This Row],[division]]&amp;Table2[[#This Row],[year]],
Teams[college]&amp;Teams[division]&amp;Teams[year],
Teams[placing], "NA")</f>
        <v>NA</v>
      </c>
      <c r="F961" s="1" t="str" cm="1">
        <f t="array" ref="F961">_xlfn.XLOOKUP(Table2[[#This Row],[college]]&amp;Table2[[#This Row],[division]]&amp;Table2[[#This Row],[year]],
Teams[college]&amp;Teams[division]&amp;Teams[year],
Teams[finish], "NA")</f>
        <v>NA</v>
      </c>
    </row>
    <row r="962" spans="1:6" x14ac:dyDescent="0.3">
      <c r="A962" t="s">
        <v>964</v>
      </c>
      <c r="B962" t="s">
        <v>241</v>
      </c>
      <c r="C962">
        <v>7</v>
      </c>
      <c r="D962">
        <v>2026</v>
      </c>
      <c r="E962" cm="1">
        <f t="array" ref="E962">_xlfn.XLOOKUP(Table2[[#This Row],[college]]&amp;Table2[[#This Row],[division]]&amp;Table2[[#This Row],[year]],
Teams[college]&amp;Teams[division]&amp;Teams[year],
Teams[placing], "NA")</f>
        <v>0</v>
      </c>
      <c r="F962" s="1" cm="1">
        <f t="array" ref="F962">_xlfn.XLOOKUP(Table2[[#This Row],[college]]&amp;Table2[[#This Row],[division]]&amp;Table2[[#This Row],[year]],
Teams[college]&amp;Teams[division]&amp;Teams[year],
Teams[finish], "NA")</f>
        <v>0</v>
      </c>
    </row>
    <row r="963" spans="1:6" x14ac:dyDescent="0.3">
      <c r="A963" t="s">
        <v>705</v>
      </c>
      <c r="B963" t="s">
        <v>5</v>
      </c>
      <c r="C963">
        <v>6</v>
      </c>
      <c r="D963">
        <v>2022</v>
      </c>
      <c r="E963" cm="1">
        <f t="array" ref="E963">_xlfn.XLOOKUP(Table2[[#This Row],[college]]&amp;Table2[[#This Row],[division]]&amp;Table2[[#This Row],[year]],
Teams[college]&amp;Teams[division]&amp;Teams[year],
Teams[placing], "NA")</f>
        <v>6</v>
      </c>
      <c r="F963" s="1" cm="1">
        <f t="array" ref="F963">_xlfn.XLOOKUP(Table2[[#This Row],[college]]&amp;Table2[[#This Row],[division]]&amp;Table2[[#This Row],[year]],
Teams[college]&amp;Teams[division]&amp;Teams[year],
Teams[finish], "NA")</f>
        <v>0.64097222222222217</v>
      </c>
    </row>
    <row r="964" spans="1:6" x14ac:dyDescent="0.3">
      <c r="A964" t="s">
        <v>970</v>
      </c>
      <c r="B964" t="s">
        <v>48</v>
      </c>
      <c r="C964">
        <v>7</v>
      </c>
      <c r="D964">
        <v>2026</v>
      </c>
      <c r="E964" cm="1">
        <f t="array" ref="E964">_xlfn.XLOOKUP(Table2[[#This Row],[college]]&amp;Table2[[#This Row],[division]]&amp;Table2[[#This Row],[year]],
Teams[college]&amp;Teams[division]&amp;Teams[year],
Teams[placing], "NA")</f>
        <v>0</v>
      </c>
      <c r="F964" s="1" cm="1">
        <f t="array" ref="F964">_xlfn.XLOOKUP(Table2[[#This Row],[college]]&amp;Table2[[#This Row],[division]]&amp;Table2[[#This Row],[year]],
Teams[college]&amp;Teams[division]&amp;Teams[year],
Teams[finish], "NA")</f>
        <v>0</v>
      </c>
    </row>
    <row r="965" spans="1:6" x14ac:dyDescent="0.3">
      <c r="A965" t="s">
        <v>452</v>
      </c>
      <c r="B965" t="s">
        <v>250</v>
      </c>
      <c r="C965">
        <v>6</v>
      </c>
      <c r="D965">
        <v>2024</v>
      </c>
      <c r="E965" t="str" cm="1">
        <f t="array" ref="E965">_xlfn.XLOOKUP(Table2[[#This Row],[college]]&amp;Table2[[#This Row],[division]]&amp;Table2[[#This Row],[year]],
Teams[college]&amp;Teams[division]&amp;Teams[year],
Teams[placing], "NA")</f>
        <v>DNF</v>
      </c>
      <c r="F965" s="1" t="str" cm="1">
        <f t="array" ref="F965">_xlfn.XLOOKUP(Table2[[#This Row],[college]]&amp;Table2[[#This Row],[division]]&amp;Table2[[#This Row],[year]],
Teams[college]&amp;Teams[division]&amp;Teams[year],
Teams[finish], "NA")</f>
        <v>NA</v>
      </c>
    </row>
    <row r="966" spans="1:6" x14ac:dyDescent="0.3">
      <c r="A966" t="s">
        <v>646</v>
      </c>
      <c r="B966" t="s">
        <v>754</v>
      </c>
      <c r="C966">
        <v>5</v>
      </c>
      <c r="D966">
        <v>2023</v>
      </c>
      <c r="E966" t="str" cm="1">
        <f t="array" ref="E966">_xlfn.XLOOKUP(Table2[[#This Row],[college]]&amp;Table2[[#This Row],[division]]&amp;Table2[[#This Row],[year]],
Teams[college]&amp;Teams[division]&amp;Teams[year],
Teams[placing], "NA")</f>
        <v>NA</v>
      </c>
      <c r="F966" s="1" cm="1">
        <f t="array" ref="F966">_xlfn.XLOOKUP(Table2[[#This Row],[college]]&amp;Table2[[#This Row],[division]]&amp;Table2[[#This Row],[year]],
Teams[college]&amp;Teams[division]&amp;Teams[year],
Teams[finish], "NA")</f>
        <v>0.61111111111111116</v>
      </c>
    </row>
    <row r="967" spans="1:6" x14ac:dyDescent="0.3">
      <c r="A967" t="s">
        <v>373</v>
      </c>
      <c r="B967" t="s">
        <v>19</v>
      </c>
      <c r="C967">
        <v>7</v>
      </c>
      <c r="D967">
        <v>2024</v>
      </c>
      <c r="E967" cm="1">
        <f t="array" ref="E967">_xlfn.XLOOKUP(Table2[[#This Row],[college]]&amp;Table2[[#This Row],[division]]&amp;Table2[[#This Row],[year]],
Teams[college]&amp;Teams[division]&amp;Teams[year],
Teams[placing], "NA")</f>
        <v>6</v>
      </c>
      <c r="F967" s="1" cm="1">
        <f t="array" ref="F967">_xlfn.XLOOKUP(Table2[[#This Row],[college]]&amp;Table2[[#This Row],[division]]&amp;Table2[[#This Row],[year]],
Teams[college]&amp;Teams[division]&amp;Teams[year],
Teams[finish], "NA")</f>
        <v>0.6958333333333333</v>
      </c>
    </row>
    <row r="968" spans="1:6" x14ac:dyDescent="0.3">
      <c r="A968" t="s">
        <v>133</v>
      </c>
      <c r="B968" t="s">
        <v>132</v>
      </c>
      <c r="C968">
        <v>6</v>
      </c>
      <c r="D968">
        <v>2025</v>
      </c>
      <c r="E968" cm="1">
        <f t="array" ref="E968">_xlfn.XLOOKUP(Table2[[#This Row],[college]]&amp;Table2[[#This Row],[division]]&amp;Table2[[#This Row],[year]],
Teams[college]&amp;Teams[division]&amp;Teams[year],
Teams[placing], "NA")</f>
        <v>1</v>
      </c>
      <c r="F968" s="1" cm="1">
        <f t="array" ref="F968">_xlfn.XLOOKUP(Table2[[#This Row],[college]]&amp;Table2[[#This Row],[division]]&amp;Table2[[#This Row],[year]],
Teams[college]&amp;Teams[division]&amp;Teams[year],
Teams[finish], "NA")</f>
        <v>0.48888888888888887</v>
      </c>
    </row>
    <row r="969" spans="1:6" x14ac:dyDescent="0.3">
      <c r="A969" t="s">
        <v>173</v>
      </c>
      <c r="B969" t="s">
        <v>15</v>
      </c>
      <c r="C969">
        <v>1</v>
      </c>
      <c r="D969">
        <v>2025</v>
      </c>
      <c r="E969" cm="1">
        <f t="array" ref="E969">_xlfn.XLOOKUP(Table2[[#This Row],[college]]&amp;Table2[[#This Row],[division]]&amp;Table2[[#This Row],[year]],
Teams[college]&amp;Teams[division]&amp;Teams[year],
Teams[placing], "NA")</f>
        <v>2</v>
      </c>
      <c r="F969" s="1" cm="1">
        <f t="array" ref="F969">_xlfn.XLOOKUP(Table2[[#This Row],[college]]&amp;Table2[[#This Row],[division]]&amp;Table2[[#This Row],[year]],
Teams[college]&amp;Teams[division]&amp;Teams[year],
Teams[finish], "NA")</f>
        <v>0.53333333333333333</v>
      </c>
    </row>
    <row r="970" spans="1:6" x14ac:dyDescent="0.3">
      <c r="A970" t="s">
        <v>173</v>
      </c>
      <c r="B970" t="s">
        <v>15</v>
      </c>
      <c r="C970">
        <v>6</v>
      </c>
      <c r="D970">
        <v>2023</v>
      </c>
      <c r="E970" cm="1">
        <f t="array" ref="E970">_xlfn.XLOOKUP(Table2[[#This Row],[college]]&amp;Table2[[#This Row],[division]]&amp;Table2[[#This Row],[year]],
Teams[college]&amp;Teams[division]&amp;Teams[year],
Teams[placing], "NA")</f>
        <v>3</v>
      </c>
      <c r="F970" s="1" cm="1">
        <f t="array" ref="F970">_xlfn.XLOOKUP(Table2[[#This Row],[college]]&amp;Table2[[#This Row],[division]]&amp;Table2[[#This Row],[year]],
Teams[college]&amp;Teams[division]&amp;Teams[year],
Teams[finish], "NA")</f>
        <v>0.56180555555555556</v>
      </c>
    </row>
    <row r="971" spans="1:6" x14ac:dyDescent="0.3">
      <c r="A971" t="s">
        <v>173</v>
      </c>
      <c r="B971" t="s">
        <v>15</v>
      </c>
      <c r="C971">
        <v>3</v>
      </c>
      <c r="D971">
        <v>2024</v>
      </c>
      <c r="E971" t="str" cm="1">
        <f t="array" ref="E971">_xlfn.XLOOKUP(Table2[[#This Row],[college]]&amp;Table2[[#This Row],[division]]&amp;Table2[[#This Row],[year]],
Teams[college]&amp;Teams[division]&amp;Teams[year],
Teams[placing], "NA")</f>
        <v>DQ</v>
      </c>
      <c r="F971" s="1" t="str" cm="1">
        <f t="array" ref="F971">_xlfn.XLOOKUP(Table2[[#This Row],[college]]&amp;Table2[[#This Row],[division]]&amp;Table2[[#This Row],[year]],
Teams[college]&amp;Teams[division]&amp;Teams[year],
Teams[finish], "NA")</f>
        <v>NA</v>
      </c>
    </row>
    <row r="972" spans="1:6" x14ac:dyDescent="0.3">
      <c r="A972" t="s">
        <v>875</v>
      </c>
      <c r="B972" t="s">
        <v>19</v>
      </c>
      <c r="C972">
        <v>4</v>
      </c>
      <c r="D972">
        <v>2026</v>
      </c>
      <c r="E972" cm="1">
        <f t="array" ref="E972">_xlfn.XLOOKUP(Table2[[#This Row],[college]]&amp;Table2[[#This Row],[division]]&amp;Table2[[#This Row],[year]],
Teams[college]&amp;Teams[division]&amp;Teams[year],
Teams[placing], "NA")</f>
        <v>0</v>
      </c>
      <c r="F972" s="1" cm="1">
        <f t="array" ref="F972">_xlfn.XLOOKUP(Table2[[#This Row],[college]]&amp;Table2[[#This Row],[division]]&amp;Table2[[#This Row],[year]],
Teams[college]&amp;Teams[division]&amp;Teams[year],
Teams[finish], "NA")</f>
        <v>0</v>
      </c>
    </row>
    <row r="973" spans="1:6" x14ac:dyDescent="0.3">
      <c r="A973" t="s">
        <v>375</v>
      </c>
      <c r="B973" t="s">
        <v>137</v>
      </c>
      <c r="C973">
        <v>4</v>
      </c>
      <c r="D973">
        <v>2023</v>
      </c>
      <c r="E973" cm="1">
        <f t="array" ref="E973">_xlfn.XLOOKUP(Table2[[#This Row],[college]]&amp;Table2[[#This Row],[division]]&amp;Table2[[#This Row],[year]],
Teams[college]&amp;Teams[division]&amp;Teams[year],
Teams[placing], "NA")</f>
        <v>1</v>
      </c>
      <c r="F973" s="1" cm="1">
        <f t="array" ref="F973">_xlfn.XLOOKUP(Table2[[#This Row],[college]]&amp;Table2[[#This Row],[division]]&amp;Table2[[#This Row],[year]],
Teams[college]&amp;Teams[division]&amp;Teams[year],
Teams[finish], "NA")</f>
        <v>0.52777777777777779</v>
      </c>
    </row>
    <row r="974" spans="1:6" x14ac:dyDescent="0.3">
      <c r="A974" t="s">
        <v>375</v>
      </c>
      <c r="B974" t="s">
        <v>137</v>
      </c>
      <c r="C974">
        <v>4</v>
      </c>
      <c r="D974">
        <v>2024</v>
      </c>
      <c r="E974" cm="1">
        <f t="array" ref="E974">_xlfn.XLOOKUP(Table2[[#This Row],[college]]&amp;Table2[[#This Row],[division]]&amp;Table2[[#This Row],[year]],
Teams[college]&amp;Teams[division]&amp;Teams[year],
Teams[placing], "NA")</f>
        <v>3</v>
      </c>
      <c r="F974" s="1" cm="1">
        <f t="array" ref="F974">_xlfn.XLOOKUP(Table2[[#This Row],[college]]&amp;Table2[[#This Row],[division]]&amp;Table2[[#This Row],[year]],
Teams[college]&amp;Teams[division]&amp;Teams[year],
Teams[finish], "NA")</f>
        <v>0.64722222222222225</v>
      </c>
    </row>
    <row r="975" spans="1:6" x14ac:dyDescent="0.3">
      <c r="A975" t="s">
        <v>375</v>
      </c>
      <c r="B975" t="s">
        <v>137</v>
      </c>
      <c r="C975">
        <v>2</v>
      </c>
      <c r="D975">
        <v>2022</v>
      </c>
      <c r="E975" t="str" cm="1">
        <f t="array" ref="E975">_xlfn.XLOOKUP(Table2[[#This Row],[college]]&amp;Table2[[#This Row],[division]]&amp;Table2[[#This Row],[year]],
Teams[college]&amp;Teams[division]&amp;Teams[year],
Teams[placing], "NA")</f>
        <v>DNF</v>
      </c>
      <c r="F975" s="1" t="str" cm="1">
        <f t="array" ref="F975">_xlfn.XLOOKUP(Table2[[#This Row],[college]]&amp;Table2[[#This Row],[division]]&amp;Table2[[#This Row],[year]],
Teams[college]&amp;Teams[division]&amp;Teams[year],
Teams[finish], "NA")</f>
        <v>NA</v>
      </c>
    </row>
    <row r="976" spans="1:6" x14ac:dyDescent="0.3">
      <c r="A976" t="s">
        <v>553</v>
      </c>
      <c r="B976" t="s">
        <v>15</v>
      </c>
      <c r="C976">
        <v>6</v>
      </c>
      <c r="D976">
        <v>2023</v>
      </c>
      <c r="E976" cm="1">
        <f t="array" ref="E976">_xlfn.XLOOKUP(Table2[[#This Row],[college]]&amp;Table2[[#This Row],[division]]&amp;Table2[[#This Row],[year]],
Teams[college]&amp;Teams[division]&amp;Teams[year],
Teams[placing], "NA")</f>
        <v>3</v>
      </c>
      <c r="F976" s="1" cm="1">
        <f t="array" ref="F976">_xlfn.XLOOKUP(Table2[[#This Row],[college]]&amp;Table2[[#This Row],[division]]&amp;Table2[[#This Row],[year]],
Teams[college]&amp;Teams[division]&amp;Teams[year],
Teams[finish], "NA")</f>
        <v>0.56180555555555556</v>
      </c>
    </row>
    <row r="977" spans="1:6" x14ac:dyDescent="0.3">
      <c r="A977" t="s">
        <v>553</v>
      </c>
      <c r="B977" t="s">
        <v>123</v>
      </c>
      <c r="C977">
        <v>3</v>
      </c>
      <c r="D977">
        <v>2022</v>
      </c>
      <c r="E977" cm="1">
        <f t="array" ref="E977">_xlfn.XLOOKUP(Table2[[#This Row],[college]]&amp;Table2[[#This Row],[division]]&amp;Table2[[#This Row],[year]],
Teams[college]&amp;Teams[division]&amp;Teams[year],
Teams[placing], "NA")</f>
        <v>5</v>
      </c>
      <c r="F977" s="1" cm="1">
        <f t="array" ref="F977">_xlfn.XLOOKUP(Table2[[#This Row],[college]]&amp;Table2[[#This Row],[division]]&amp;Table2[[#This Row],[year]],
Teams[college]&amp;Teams[division]&amp;Teams[year],
Teams[finish], "NA")</f>
        <v>0.61736111111111114</v>
      </c>
    </row>
    <row r="978" spans="1:6" x14ac:dyDescent="0.3">
      <c r="A978" t="s">
        <v>626</v>
      </c>
      <c r="B978" t="s">
        <v>10</v>
      </c>
      <c r="C978">
        <v>3</v>
      </c>
      <c r="D978">
        <v>2022</v>
      </c>
      <c r="E978" cm="1">
        <f t="array" ref="E978">_xlfn.XLOOKUP(Table2[[#This Row],[college]]&amp;Table2[[#This Row],[division]]&amp;Table2[[#This Row],[year]],
Teams[college]&amp;Teams[division]&amp;Teams[year],
Teams[placing], "NA")</f>
        <v>3</v>
      </c>
      <c r="F978" s="1" cm="1">
        <f t="array" ref="F978">_xlfn.XLOOKUP(Table2[[#This Row],[college]]&amp;Table2[[#This Row],[division]]&amp;Table2[[#This Row],[year]],
Teams[college]&amp;Teams[division]&amp;Teams[year],
Teams[finish], "NA")</f>
        <v>0.48402777777777778</v>
      </c>
    </row>
    <row r="979" spans="1:6" x14ac:dyDescent="0.3">
      <c r="A979" t="s">
        <v>626</v>
      </c>
      <c r="B979" t="s">
        <v>10</v>
      </c>
      <c r="C979">
        <v>1</v>
      </c>
      <c r="D979">
        <v>2023</v>
      </c>
      <c r="E979" t="str" cm="1">
        <f t="array" ref="E979">_xlfn.XLOOKUP(Table2[[#This Row],[college]]&amp;Table2[[#This Row],[division]]&amp;Table2[[#This Row],[year]],
Teams[college]&amp;Teams[division]&amp;Teams[year],
Teams[placing], "NA")</f>
        <v>DNF</v>
      </c>
      <c r="F979" s="1" t="str" cm="1">
        <f t="array" ref="F979">_xlfn.XLOOKUP(Table2[[#This Row],[college]]&amp;Table2[[#This Row],[division]]&amp;Table2[[#This Row],[year]],
Teams[college]&amp;Teams[division]&amp;Teams[year],
Teams[finish], "NA")</f>
        <v>NA</v>
      </c>
    </row>
    <row r="980" spans="1:6" x14ac:dyDescent="0.3">
      <c r="A980" t="s">
        <v>60</v>
      </c>
      <c r="B980" t="s">
        <v>19</v>
      </c>
      <c r="C980">
        <v>5</v>
      </c>
      <c r="D980">
        <v>2025</v>
      </c>
      <c r="E980" cm="1">
        <f t="array" ref="E980">_xlfn.XLOOKUP(Table2[[#This Row],[college]]&amp;Table2[[#This Row],[division]]&amp;Table2[[#This Row],[year]],
Teams[college]&amp;Teams[division]&amp;Teams[year],
Teams[placing], "NA")</f>
        <v>9</v>
      </c>
      <c r="F980" s="1" cm="1">
        <f t="array" ref="F980">_xlfn.XLOOKUP(Table2[[#This Row],[college]]&amp;Table2[[#This Row],[division]]&amp;Table2[[#This Row],[year]],
Teams[college]&amp;Teams[division]&amp;Teams[year],
Teams[finish], "NA")</f>
        <v>0.5756944444444444</v>
      </c>
    </row>
    <row r="981" spans="1:6" x14ac:dyDescent="0.3">
      <c r="A981" t="s">
        <v>957</v>
      </c>
      <c r="B981" t="s">
        <v>787</v>
      </c>
      <c r="C981">
        <v>7</v>
      </c>
      <c r="D981">
        <v>2026</v>
      </c>
      <c r="E981" t="str" cm="1">
        <f t="array" ref="E981">_xlfn.XLOOKUP(Table2[[#This Row],[college]]&amp;Table2[[#This Row],[division]]&amp;Table2[[#This Row],[year]],
Teams[college]&amp;Teams[division]&amp;Teams[year],
Teams[placing], "NA")</f>
        <v>NA</v>
      </c>
      <c r="F981" s="1" t="str" cm="1">
        <f t="array" ref="F981">_xlfn.XLOOKUP(Table2[[#This Row],[college]]&amp;Table2[[#This Row],[division]]&amp;Table2[[#This Row],[year]],
Teams[college]&amp;Teams[division]&amp;Teams[year],
Teams[finish], "NA")</f>
        <v>NA</v>
      </c>
    </row>
    <row r="982" spans="1:6" x14ac:dyDescent="0.3">
      <c r="A982" t="s">
        <v>187</v>
      </c>
      <c r="B982" t="s">
        <v>123</v>
      </c>
      <c r="C982">
        <v>7</v>
      </c>
      <c r="D982">
        <v>2025</v>
      </c>
      <c r="E982" cm="1">
        <f t="array" ref="E982">_xlfn.XLOOKUP(Table2[[#This Row],[college]]&amp;Table2[[#This Row],[division]]&amp;Table2[[#This Row],[year]],
Teams[college]&amp;Teams[division]&amp;Teams[year],
Teams[placing], "NA")</f>
        <v>11</v>
      </c>
      <c r="F982" s="1" cm="1">
        <f t="array" ref="F982">_xlfn.XLOOKUP(Table2[[#This Row],[college]]&amp;Table2[[#This Row],[division]]&amp;Table2[[#This Row],[year]],
Teams[college]&amp;Teams[division]&amp;Teams[year],
Teams[finish], "NA")</f>
        <v>0.63472222222222219</v>
      </c>
    </row>
    <row r="983" spans="1:6" x14ac:dyDescent="0.3">
      <c r="A983" t="s">
        <v>187</v>
      </c>
      <c r="B983" t="s">
        <v>123</v>
      </c>
      <c r="C983">
        <v>4</v>
      </c>
      <c r="D983">
        <v>2023</v>
      </c>
      <c r="E983" cm="1">
        <f t="array" ref="E983">_xlfn.XLOOKUP(Table2[[#This Row],[college]]&amp;Table2[[#This Row],[division]]&amp;Table2[[#This Row],[year]],
Teams[college]&amp;Teams[division]&amp;Teams[year],
Teams[placing], "NA")</f>
        <v>6</v>
      </c>
      <c r="F983" s="1" cm="1">
        <f t="array" ref="F983">_xlfn.XLOOKUP(Table2[[#This Row],[college]]&amp;Table2[[#This Row],[division]]&amp;Table2[[#This Row],[year]],
Teams[college]&amp;Teams[division]&amp;Teams[year],
Teams[finish], "NA")</f>
        <v>0.63888888888888884</v>
      </c>
    </row>
    <row r="984" spans="1:6" x14ac:dyDescent="0.3">
      <c r="A984" t="s">
        <v>187</v>
      </c>
      <c r="B984" t="s">
        <v>123</v>
      </c>
      <c r="C984">
        <v>7</v>
      </c>
      <c r="D984">
        <v>2024</v>
      </c>
      <c r="E984" cm="1">
        <f t="array" ref="E984">_xlfn.XLOOKUP(Table2[[#This Row],[college]]&amp;Table2[[#This Row],[division]]&amp;Table2[[#This Row],[year]],
Teams[college]&amp;Teams[division]&amp;Teams[year],
Teams[placing], "NA")</f>
        <v>8</v>
      </c>
      <c r="F984" s="1" cm="1">
        <f t="array" ref="F984">_xlfn.XLOOKUP(Table2[[#This Row],[college]]&amp;Table2[[#This Row],[division]]&amp;Table2[[#This Row],[year]],
Teams[college]&amp;Teams[division]&amp;Teams[year],
Teams[finish], "NA")</f>
        <v>0.70347222222222228</v>
      </c>
    </row>
    <row r="985" spans="1:6" x14ac:dyDescent="0.3">
      <c r="A985" t="s">
        <v>639</v>
      </c>
      <c r="B985" t="s">
        <v>137</v>
      </c>
      <c r="C985">
        <v>7</v>
      </c>
      <c r="D985">
        <v>2023</v>
      </c>
      <c r="E985" cm="1">
        <f t="array" ref="E985">_xlfn.XLOOKUP(Table2[[#This Row],[college]]&amp;Table2[[#This Row],[division]]&amp;Table2[[#This Row],[year]],
Teams[college]&amp;Teams[division]&amp;Teams[year],
Teams[placing], "NA")</f>
        <v>3</v>
      </c>
      <c r="F985" s="1" cm="1">
        <f t="array" ref="F985">_xlfn.XLOOKUP(Table2[[#This Row],[college]]&amp;Table2[[#This Row],[division]]&amp;Table2[[#This Row],[year]],
Teams[college]&amp;Teams[division]&amp;Teams[year],
Teams[finish], "NA")</f>
        <v>0.55347222222222225</v>
      </c>
    </row>
    <row r="986" spans="1:6" x14ac:dyDescent="0.3">
      <c r="A986" t="s">
        <v>720</v>
      </c>
      <c r="B986" t="s">
        <v>15</v>
      </c>
      <c r="C986">
        <v>3</v>
      </c>
      <c r="D986">
        <v>2022</v>
      </c>
      <c r="E986" cm="1">
        <f t="array" ref="E986">_xlfn.XLOOKUP(Table2[[#This Row],[college]]&amp;Table2[[#This Row],[division]]&amp;Table2[[#This Row],[year]],
Teams[college]&amp;Teams[division]&amp;Teams[year],
Teams[placing], "NA")</f>
        <v>2</v>
      </c>
      <c r="F986" s="1" cm="1">
        <f t="array" ref="F986">_xlfn.XLOOKUP(Table2[[#This Row],[college]]&amp;Table2[[#This Row],[division]]&amp;Table2[[#This Row],[year]],
Teams[college]&amp;Teams[division]&amp;Teams[year],
Teams[finish], "NA")</f>
        <v>0.41458333333333336</v>
      </c>
    </row>
    <row r="987" spans="1:6" x14ac:dyDescent="0.3">
      <c r="A987" t="s">
        <v>856</v>
      </c>
      <c r="B987" t="s">
        <v>132</v>
      </c>
      <c r="C987">
        <v>4</v>
      </c>
      <c r="D987">
        <v>2026</v>
      </c>
      <c r="E987" cm="1">
        <f t="array" ref="E987">_xlfn.XLOOKUP(Table2[[#This Row],[college]]&amp;Table2[[#This Row],[division]]&amp;Table2[[#This Row],[year]],
Teams[college]&amp;Teams[division]&amp;Teams[year],
Teams[placing], "NA")</f>
        <v>0</v>
      </c>
      <c r="F987" s="1" cm="1">
        <f t="array" ref="F987">_xlfn.XLOOKUP(Table2[[#This Row],[college]]&amp;Table2[[#This Row],[division]]&amp;Table2[[#This Row],[year]],
Teams[college]&amp;Teams[division]&amp;Teams[year],
Teams[finish], "NA")</f>
        <v>0</v>
      </c>
    </row>
    <row r="988" spans="1:6" x14ac:dyDescent="0.3">
      <c r="A988" t="s">
        <v>493</v>
      </c>
      <c r="B988" t="s">
        <v>48</v>
      </c>
      <c r="C988">
        <v>5</v>
      </c>
      <c r="D988">
        <v>2024</v>
      </c>
      <c r="E988" cm="1">
        <f t="array" ref="E988">_xlfn.XLOOKUP(Table2[[#This Row],[college]]&amp;Table2[[#This Row],[division]]&amp;Table2[[#This Row],[year]],
Teams[college]&amp;Teams[division]&amp;Teams[year],
Teams[placing], "NA")</f>
        <v>2</v>
      </c>
      <c r="F988" s="1" cm="1">
        <f t="array" ref="F988">_xlfn.XLOOKUP(Table2[[#This Row],[college]]&amp;Table2[[#This Row],[division]]&amp;Table2[[#This Row],[year]],
Teams[college]&amp;Teams[division]&amp;Teams[year],
Teams[finish], "NA")</f>
        <v>0.57361111111111107</v>
      </c>
    </row>
    <row r="989" spans="1:6" x14ac:dyDescent="0.3">
      <c r="A989" t="s">
        <v>493</v>
      </c>
      <c r="B989" t="s">
        <v>48</v>
      </c>
      <c r="C989">
        <v>2</v>
      </c>
      <c r="D989">
        <v>2023</v>
      </c>
      <c r="E989" cm="1">
        <f t="array" ref="E989">_xlfn.XLOOKUP(Table2[[#This Row],[college]]&amp;Table2[[#This Row],[division]]&amp;Table2[[#This Row],[year]],
Teams[college]&amp;Teams[division]&amp;Teams[year],
Teams[placing], "NA")</f>
        <v>4</v>
      </c>
      <c r="F989" s="1" cm="1">
        <f t="array" ref="F989">_xlfn.XLOOKUP(Table2[[#This Row],[college]]&amp;Table2[[#This Row],[division]]&amp;Table2[[#This Row],[year]],
Teams[college]&amp;Teams[division]&amp;Teams[year],
Teams[finish], "NA")</f>
        <v>0.59722222222222221</v>
      </c>
    </row>
    <row r="990" spans="1:6" x14ac:dyDescent="0.3">
      <c r="A990" t="s">
        <v>493</v>
      </c>
      <c r="B990" t="s">
        <v>48</v>
      </c>
      <c r="C990">
        <v>4</v>
      </c>
      <c r="D990">
        <v>2022</v>
      </c>
      <c r="E990" t="str" cm="1">
        <f t="array" ref="E990">_xlfn.XLOOKUP(Table2[[#This Row],[college]]&amp;Table2[[#This Row],[division]]&amp;Table2[[#This Row],[year]],
Teams[college]&amp;Teams[division]&amp;Teams[year],
Teams[placing], "NA")</f>
        <v>DNF</v>
      </c>
      <c r="F990" s="1" t="str" cm="1">
        <f t="array" ref="F990">_xlfn.XLOOKUP(Table2[[#This Row],[college]]&amp;Table2[[#This Row],[division]]&amp;Table2[[#This Row],[year]],
Teams[college]&amp;Teams[division]&amp;Teams[year],
Teams[finish], "NA")</f>
        <v>NA</v>
      </c>
    </row>
    <row r="991" spans="1:6" x14ac:dyDescent="0.3">
      <c r="A991" t="s">
        <v>493</v>
      </c>
      <c r="B991" t="s">
        <v>766</v>
      </c>
      <c r="C991">
        <v>6</v>
      </c>
      <c r="D991">
        <v>2026</v>
      </c>
      <c r="E991" cm="1">
        <f t="array" ref="E991">_xlfn.XLOOKUP(Table2[[#This Row],[college]]&amp;Table2[[#This Row],[division]]&amp;Table2[[#This Row],[year]],
Teams[college]&amp;Teams[division]&amp;Teams[year],
Teams[placing], "NA")</f>
        <v>0</v>
      </c>
      <c r="F991" s="1" cm="1">
        <f t="array" ref="F991">_xlfn.XLOOKUP(Table2[[#This Row],[college]]&amp;Table2[[#This Row],[division]]&amp;Table2[[#This Row],[year]],
Teams[college]&amp;Teams[division]&amp;Teams[year],
Teams[finish], "NA")</f>
        <v>0</v>
      </c>
    </row>
    <row r="992" spans="1:6" x14ac:dyDescent="0.3">
      <c r="A992" t="s">
        <v>571</v>
      </c>
      <c r="B992" t="s">
        <v>48</v>
      </c>
      <c r="C992">
        <v>7</v>
      </c>
      <c r="D992">
        <v>2023</v>
      </c>
      <c r="E992" cm="1">
        <f t="array" ref="E992">_xlfn.XLOOKUP(Table2[[#This Row],[college]]&amp;Table2[[#This Row],[division]]&amp;Table2[[#This Row],[year]],
Teams[college]&amp;Teams[division]&amp;Teams[year],
Teams[placing], "NA")</f>
        <v>4</v>
      </c>
      <c r="F992" s="1" cm="1">
        <f t="array" ref="F992">_xlfn.XLOOKUP(Table2[[#This Row],[college]]&amp;Table2[[#This Row],[division]]&amp;Table2[[#This Row],[year]],
Teams[college]&amp;Teams[division]&amp;Teams[year],
Teams[finish], "NA")</f>
        <v>0.55972222222222223</v>
      </c>
    </row>
    <row r="993" spans="1:6" x14ac:dyDescent="0.3">
      <c r="A993" t="s">
        <v>993</v>
      </c>
      <c r="B993" t="s">
        <v>5</v>
      </c>
      <c r="C993">
        <v>6</v>
      </c>
      <c r="D993">
        <v>2026</v>
      </c>
      <c r="E993" cm="1">
        <f t="array" ref="E993">_xlfn.XLOOKUP(Table2[[#This Row],[college]]&amp;Table2[[#This Row],[division]]&amp;Table2[[#This Row],[year]],
Teams[college]&amp;Teams[division]&amp;Teams[year],
Teams[placing], "NA")</f>
        <v>0</v>
      </c>
      <c r="F993" s="1" cm="1">
        <f t="array" ref="F993">_xlfn.XLOOKUP(Table2[[#This Row],[college]]&amp;Table2[[#This Row],[division]]&amp;Table2[[#This Row],[year]],
Teams[college]&amp;Teams[division]&amp;Teams[year],
Teams[finish], "NA")</f>
        <v>0</v>
      </c>
    </row>
    <row r="994" spans="1:6" x14ac:dyDescent="0.3">
      <c r="A994" t="s">
        <v>309</v>
      </c>
      <c r="B994" t="s">
        <v>241</v>
      </c>
      <c r="C994">
        <v>5</v>
      </c>
      <c r="D994">
        <v>2025</v>
      </c>
      <c r="E994" cm="1">
        <f t="array" ref="E994">_xlfn.XLOOKUP(Table2[[#This Row],[college]]&amp;Table2[[#This Row],[division]]&amp;Table2[[#This Row],[year]],
Teams[college]&amp;Teams[division]&amp;Teams[year],
Teams[placing], "NA")</f>
        <v>11</v>
      </c>
      <c r="F994" s="1" cm="1">
        <f t="array" ref="F994">_xlfn.XLOOKUP(Table2[[#This Row],[college]]&amp;Table2[[#This Row],[division]]&amp;Table2[[#This Row],[year]],
Teams[college]&amp;Teams[division]&amp;Teams[year],
Teams[finish], "NA")</f>
        <v>0.65</v>
      </c>
    </row>
    <row r="995" spans="1:6" x14ac:dyDescent="0.3">
      <c r="A995" t="s">
        <v>249</v>
      </c>
      <c r="B995" t="s">
        <v>250</v>
      </c>
      <c r="C995">
        <v>7</v>
      </c>
      <c r="D995">
        <v>2026</v>
      </c>
      <c r="E995" cm="1">
        <f t="array" ref="E995">_xlfn.XLOOKUP(Table2[[#This Row],[college]]&amp;Table2[[#This Row],[division]]&amp;Table2[[#This Row],[year]],
Teams[college]&amp;Teams[division]&amp;Teams[year],
Teams[placing], "NA")</f>
        <v>0</v>
      </c>
      <c r="F995" s="1" cm="1">
        <f t="array" ref="F995">_xlfn.XLOOKUP(Table2[[#This Row],[college]]&amp;Table2[[#This Row],[division]]&amp;Table2[[#This Row],[year]],
Teams[college]&amp;Teams[division]&amp;Teams[year],
Teams[finish], "NA")</f>
        <v>0</v>
      </c>
    </row>
    <row r="996" spans="1:6" x14ac:dyDescent="0.3">
      <c r="A996" t="s">
        <v>249</v>
      </c>
      <c r="B996" t="s">
        <v>250</v>
      </c>
      <c r="C996">
        <v>5</v>
      </c>
      <c r="D996">
        <v>2024</v>
      </c>
      <c r="E996" cm="1">
        <f t="array" ref="E996">_xlfn.XLOOKUP(Table2[[#This Row],[college]]&amp;Table2[[#This Row],[division]]&amp;Table2[[#This Row],[year]],
Teams[college]&amp;Teams[division]&amp;Teams[year],
Teams[placing], "NA")</f>
        <v>7</v>
      </c>
      <c r="F996" s="1" cm="1">
        <f t="array" ref="F996">_xlfn.XLOOKUP(Table2[[#This Row],[college]]&amp;Table2[[#This Row],[division]]&amp;Table2[[#This Row],[year]],
Teams[college]&amp;Teams[division]&amp;Teams[year],
Teams[finish], "NA")</f>
        <v>0.63194444444444442</v>
      </c>
    </row>
    <row r="997" spans="1:6" x14ac:dyDescent="0.3">
      <c r="A997" t="s">
        <v>249</v>
      </c>
      <c r="B997" t="s">
        <v>250</v>
      </c>
      <c r="C997">
        <v>3</v>
      </c>
      <c r="D997">
        <v>2025</v>
      </c>
      <c r="E997" cm="1">
        <f t="array" ref="E997">_xlfn.XLOOKUP(Table2[[#This Row],[college]]&amp;Table2[[#This Row],[division]]&amp;Table2[[#This Row],[year]],
Teams[college]&amp;Teams[division]&amp;Teams[year],
Teams[placing], "NA")</f>
        <v>8</v>
      </c>
      <c r="F997" s="1" cm="1">
        <f t="array" ref="F997">_xlfn.XLOOKUP(Table2[[#This Row],[college]]&amp;Table2[[#This Row],[division]]&amp;Table2[[#This Row],[year]],
Teams[college]&amp;Teams[division]&amp;Teams[year],
Teams[finish], "NA")</f>
        <v>0.64027777777777772</v>
      </c>
    </row>
    <row r="998" spans="1:6" x14ac:dyDescent="0.3">
      <c r="A998" t="s">
        <v>171</v>
      </c>
      <c r="B998" t="s">
        <v>15</v>
      </c>
      <c r="C998">
        <v>1</v>
      </c>
      <c r="D998">
        <v>2025</v>
      </c>
      <c r="E998" cm="1">
        <f t="array" ref="E998">_xlfn.XLOOKUP(Table2[[#This Row],[college]]&amp;Table2[[#This Row],[division]]&amp;Table2[[#This Row],[year]],
Teams[college]&amp;Teams[division]&amp;Teams[year],
Teams[placing], "NA")</f>
        <v>2</v>
      </c>
      <c r="F998" s="1" cm="1">
        <f t="array" ref="F998">_xlfn.XLOOKUP(Table2[[#This Row],[college]]&amp;Table2[[#This Row],[division]]&amp;Table2[[#This Row],[year]],
Teams[college]&amp;Teams[division]&amp;Teams[year],
Teams[finish], "NA")</f>
        <v>0.53333333333333333</v>
      </c>
    </row>
    <row r="999" spans="1:6" x14ac:dyDescent="0.3">
      <c r="A999" t="s">
        <v>171</v>
      </c>
      <c r="B999" t="s">
        <v>15</v>
      </c>
      <c r="C999">
        <v>4</v>
      </c>
      <c r="D999">
        <v>2026</v>
      </c>
      <c r="E999" cm="1">
        <f t="array" ref="E999">_xlfn.XLOOKUP(Table2[[#This Row],[college]]&amp;Table2[[#This Row],[division]]&amp;Table2[[#This Row],[year]],
Teams[college]&amp;Teams[division]&amp;Teams[year],
Teams[placing], "NA")</f>
        <v>0</v>
      </c>
      <c r="F999" s="1" cm="1">
        <f t="array" ref="F999">_xlfn.XLOOKUP(Table2[[#This Row],[college]]&amp;Table2[[#This Row],[division]]&amp;Table2[[#This Row],[year]],
Teams[college]&amp;Teams[division]&amp;Teams[year],
Teams[finish], "NA")</f>
        <v>0</v>
      </c>
    </row>
    <row r="1000" spans="1:6" x14ac:dyDescent="0.3">
      <c r="A1000" t="s">
        <v>803</v>
      </c>
      <c r="B1000" t="s">
        <v>132</v>
      </c>
      <c r="C1000">
        <v>2</v>
      </c>
      <c r="D1000">
        <v>2026</v>
      </c>
      <c r="E1000" cm="1">
        <f t="array" ref="E1000">_xlfn.XLOOKUP(Table2[[#This Row],[college]]&amp;Table2[[#This Row],[division]]&amp;Table2[[#This Row],[year]],
Teams[college]&amp;Teams[division]&amp;Teams[year],
Teams[placing], "NA")</f>
        <v>0</v>
      </c>
      <c r="F1000" s="1" cm="1">
        <f t="array" ref="F1000">_xlfn.XLOOKUP(Table2[[#This Row],[college]]&amp;Table2[[#This Row],[division]]&amp;Table2[[#This Row],[year]],
Teams[college]&amp;Teams[division]&amp;Teams[year],
Teams[finish], "NA")</f>
        <v>0</v>
      </c>
    </row>
    <row r="1001" spans="1:6" x14ac:dyDescent="0.3">
      <c r="A1001" t="s">
        <v>233</v>
      </c>
      <c r="B1001" t="s">
        <v>757</v>
      </c>
      <c r="C1001">
        <v>5</v>
      </c>
      <c r="D1001">
        <v>2025</v>
      </c>
      <c r="E1001" t="str" cm="1">
        <f t="array" ref="E1001">_xlfn.XLOOKUP(Table2[[#This Row],[college]]&amp;Table2[[#This Row],[division]]&amp;Table2[[#This Row],[year]],
Teams[college]&amp;Teams[division]&amp;Teams[year],
Teams[placing], "NA")</f>
        <v>NA</v>
      </c>
      <c r="F1001" s="1" cm="1">
        <f t="array" ref="F1001">_xlfn.XLOOKUP(Table2[[#This Row],[college]]&amp;Table2[[#This Row],[division]]&amp;Table2[[#This Row],[year]],
Teams[college]&amp;Teams[division]&amp;Teams[year],
Teams[finish], "NA")</f>
        <v>0.53472222222222221</v>
      </c>
    </row>
    <row r="1002" spans="1:6" x14ac:dyDescent="0.3">
      <c r="A1002" t="s">
        <v>233</v>
      </c>
      <c r="B1002" t="s">
        <v>132</v>
      </c>
      <c r="C1002">
        <v>5</v>
      </c>
      <c r="D1002">
        <v>2024</v>
      </c>
      <c r="E1002" cm="1">
        <f t="array" ref="E1002">_xlfn.XLOOKUP(Table2[[#This Row],[college]]&amp;Table2[[#This Row],[division]]&amp;Table2[[#This Row],[year]],
Teams[college]&amp;Teams[division]&amp;Teams[year],
Teams[placing], "NA")</f>
        <v>4</v>
      </c>
      <c r="F1002" s="1" cm="1">
        <f t="array" ref="F1002">_xlfn.XLOOKUP(Table2[[#This Row],[college]]&amp;Table2[[#This Row],[division]]&amp;Table2[[#This Row],[year]],
Teams[college]&amp;Teams[division]&amp;Teams[year],
Teams[finish], "NA")</f>
        <v>0.61250000000000004</v>
      </c>
    </row>
    <row r="1003" spans="1:6" x14ac:dyDescent="0.3">
      <c r="A1003" t="s">
        <v>359</v>
      </c>
      <c r="B1003" t="s">
        <v>132</v>
      </c>
      <c r="C1003">
        <v>6</v>
      </c>
      <c r="D1003">
        <v>2024</v>
      </c>
      <c r="E1003" cm="1">
        <f t="array" ref="E1003">_xlfn.XLOOKUP(Table2[[#This Row],[college]]&amp;Table2[[#This Row],[division]]&amp;Table2[[#This Row],[year]],
Teams[college]&amp;Teams[division]&amp;Teams[year],
Teams[placing], "NA")</f>
        <v>4</v>
      </c>
      <c r="F1003" s="1" cm="1">
        <f t="array" ref="F1003">_xlfn.XLOOKUP(Table2[[#This Row],[college]]&amp;Table2[[#This Row],[division]]&amp;Table2[[#This Row],[year]],
Teams[college]&amp;Teams[division]&amp;Teams[year],
Teams[finish], "NA")</f>
        <v>0.63472222222222219</v>
      </c>
    </row>
    <row r="1004" spans="1:6" x14ac:dyDescent="0.3">
      <c r="A1004" t="s">
        <v>848</v>
      </c>
      <c r="B1004" t="s">
        <v>241</v>
      </c>
      <c r="C1004">
        <v>3</v>
      </c>
      <c r="D1004">
        <v>2026</v>
      </c>
      <c r="E1004" cm="1">
        <f t="array" ref="E1004">_xlfn.XLOOKUP(Table2[[#This Row],[college]]&amp;Table2[[#This Row],[division]]&amp;Table2[[#This Row],[year]],
Teams[college]&amp;Teams[division]&amp;Teams[year],
Teams[placing], "NA")</f>
        <v>0</v>
      </c>
      <c r="F1004" s="1" cm="1">
        <f t="array" ref="F1004">_xlfn.XLOOKUP(Table2[[#This Row],[college]]&amp;Table2[[#This Row],[division]]&amp;Table2[[#This Row],[year]],
Teams[college]&amp;Teams[division]&amp;Teams[year],
Teams[finish], "NA")</f>
        <v>0</v>
      </c>
    </row>
    <row r="1005" spans="1:6" x14ac:dyDescent="0.3">
      <c r="A1005" t="s">
        <v>178</v>
      </c>
      <c r="B1005" t="s">
        <v>15</v>
      </c>
      <c r="C1005">
        <v>5</v>
      </c>
      <c r="D1005">
        <v>2026</v>
      </c>
      <c r="E1005" cm="1">
        <f t="array" ref="E1005">_xlfn.XLOOKUP(Table2[[#This Row],[college]]&amp;Table2[[#This Row],[division]]&amp;Table2[[#This Row],[year]],
Teams[college]&amp;Teams[division]&amp;Teams[year],
Teams[placing], "NA")</f>
        <v>0</v>
      </c>
      <c r="F1005" s="1" cm="1">
        <f t="array" ref="F1005">_xlfn.XLOOKUP(Table2[[#This Row],[college]]&amp;Table2[[#This Row],[division]]&amp;Table2[[#This Row],[year]],
Teams[college]&amp;Teams[division]&amp;Teams[year],
Teams[finish], "NA")</f>
        <v>0</v>
      </c>
    </row>
    <row r="1006" spans="1:6" x14ac:dyDescent="0.3">
      <c r="A1006" t="s">
        <v>178</v>
      </c>
      <c r="B1006" t="s">
        <v>15</v>
      </c>
      <c r="C1006">
        <v>2</v>
      </c>
      <c r="D1006">
        <v>2023</v>
      </c>
      <c r="E1006" cm="1">
        <f t="array" ref="E1006">_xlfn.XLOOKUP(Table2[[#This Row],[college]]&amp;Table2[[#This Row],[division]]&amp;Table2[[#This Row],[year]],
Teams[college]&amp;Teams[division]&amp;Teams[year],
Teams[placing], "NA")</f>
        <v>2</v>
      </c>
      <c r="F1006" s="1" cm="1">
        <f t="array" ref="F1006">_xlfn.XLOOKUP(Table2[[#This Row],[college]]&amp;Table2[[#This Row],[division]]&amp;Table2[[#This Row],[year]],
Teams[college]&amp;Teams[division]&amp;Teams[year],
Teams[finish], "NA")</f>
        <v>0.49305555555555558</v>
      </c>
    </row>
    <row r="1007" spans="1:6" x14ac:dyDescent="0.3">
      <c r="A1007" t="s">
        <v>178</v>
      </c>
      <c r="B1007" t="s">
        <v>15</v>
      </c>
      <c r="C1007">
        <v>2</v>
      </c>
      <c r="D1007">
        <v>2025</v>
      </c>
      <c r="E1007" cm="1">
        <f t="array" ref="E1007">_xlfn.XLOOKUP(Table2[[#This Row],[college]]&amp;Table2[[#This Row],[division]]&amp;Table2[[#This Row],[year]],
Teams[college]&amp;Teams[division]&amp;Teams[year],
Teams[placing], "NA")</f>
        <v>5</v>
      </c>
      <c r="F1007" s="1" cm="1">
        <f t="array" ref="F1007">_xlfn.XLOOKUP(Table2[[#This Row],[college]]&amp;Table2[[#This Row],[division]]&amp;Table2[[#This Row],[year]],
Teams[college]&amp;Teams[division]&amp;Teams[year],
Teams[finish], "NA")</f>
        <v>0.59027777777777779</v>
      </c>
    </row>
    <row r="1008" spans="1:6" x14ac:dyDescent="0.3">
      <c r="A1008" t="s">
        <v>178</v>
      </c>
      <c r="B1008" t="s">
        <v>15</v>
      </c>
      <c r="C1008">
        <v>4</v>
      </c>
      <c r="D1008">
        <v>2024</v>
      </c>
      <c r="E1008" cm="1">
        <f t="array" ref="E1008">_xlfn.XLOOKUP(Table2[[#This Row],[college]]&amp;Table2[[#This Row],[division]]&amp;Table2[[#This Row],[year]],
Teams[college]&amp;Teams[division]&amp;Teams[year],
Teams[placing], "NA")</f>
        <v>7</v>
      </c>
      <c r="F1008" s="1" cm="1">
        <f t="array" ref="F1008">_xlfn.XLOOKUP(Table2[[#This Row],[college]]&amp;Table2[[#This Row],[division]]&amp;Table2[[#This Row],[year]],
Teams[college]&amp;Teams[division]&amp;Teams[year],
Teams[finish], "NA")</f>
        <v>0.69097222222222221</v>
      </c>
    </row>
    <row r="1009" spans="1:6" x14ac:dyDescent="0.3">
      <c r="A1009" t="s">
        <v>207</v>
      </c>
      <c r="B1009" t="s">
        <v>123</v>
      </c>
      <c r="C1009">
        <v>2</v>
      </c>
      <c r="D1009">
        <v>2023</v>
      </c>
      <c r="E1009" cm="1">
        <f t="array" ref="E1009">_xlfn.XLOOKUP(Table2[[#This Row],[college]]&amp;Table2[[#This Row],[division]]&amp;Table2[[#This Row],[year]],
Teams[college]&amp;Teams[division]&amp;Teams[year],
Teams[placing], "NA")</f>
        <v>1</v>
      </c>
      <c r="F1009" s="1" cm="1">
        <f t="array" ref="F1009">_xlfn.XLOOKUP(Table2[[#This Row],[college]]&amp;Table2[[#This Row],[division]]&amp;Table2[[#This Row],[year]],
Teams[college]&amp;Teams[division]&amp;Teams[year],
Teams[finish], "NA")</f>
        <v>0.47013888888888888</v>
      </c>
    </row>
    <row r="1010" spans="1:6" x14ac:dyDescent="0.3">
      <c r="A1010" t="s">
        <v>207</v>
      </c>
      <c r="B1010" t="s">
        <v>123</v>
      </c>
      <c r="C1010">
        <v>1</v>
      </c>
      <c r="D1010">
        <v>2024</v>
      </c>
      <c r="E1010" cm="1">
        <f t="array" ref="E1010">_xlfn.XLOOKUP(Table2[[#This Row],[college]]&amp;Table2[[#This Row],[division]]&amp;Table2[[#This Row],[year]],
Teams[college]&amp;Teams[division]&amp;Teams[year],
Teams[placing], "NA")</f>
        <v>4</v>
      </c>
      <c r="F1010" s="1" cm="1">
        <f t="array" ref="F1010">_xlfn.XLOOKUP(Table2[[#This Row],[college]]&amp;Table2[[#This Row],[division]]&amp;Table2[[#This Row],[year]],
Teams[college]&amp;Teams[division]&amp;Teams[year],
Teams[finish], "NA")</f>
        <v>0.55277777777777781</v>
      </c>
    </row>
    <row r="1011" spans="1:6" x14ac:dyDescent="0.3">
      <c r="A1011" t="s">
        <v>207</v>
      </c>
      <c r="B1011" t="s">
        <v>5</v>
      </c>
      <c r="C1011">
        <v>2</v>
      </c>
      <c r="D1011">
        <v>2025</v>
      </c>
      <c r="E1011" cm="1">
        <f t="array" ref="E1011">_xlfn.XLOOKUP(Table2[[#This Row],[college]]&amp;Table2[[#This Row],[division]]&amp;Table2[[#This Row],[year]],
Teams[college]&amp;Teams[division]&amp;Teams[year],
Teams[placing], "NA")</f>
        <v>1</v>
      </c>
      <c r="F1011" s="1" cm="1">
        <f t="array" ref="F1011">_xlfn.XLOOKUP(Table2[[#This Row],[college]]&amp;Table2[[#This Row],[division]]&amp;Table2[[#This Row],[year]],
Teams[college]&amp;Teams[division]&amp;Teams[year],
Teams[finish], "NA")</f>
        <v>0.50416666666666665</v>
      </c>
    </row>
    <row r="1012" spans="1:6" x14ac:dyDescent="0.3">
      <c r="A1012" t="s">
        <v>207</v>
      </c>
      <c r="B1012" t="s">
        <v>5</v>
      </c>
      <c r="C1012">
        <v>2</v>
      </c>
      <c r="D1012">
        <v>2026</v>
      </c>
      <c r="E1012" cm="1">
        <f t="array" ref="E1012">_xlfn.XLOOKUP(Table2[[#This Row],[college]]&amp;Table2[[#This Row],[division]]&amp;Table2[[#This Row],[year]],
Teams[college]&amp;Teams[division]&amp;Teams[year],
Teams[placing], "NA")</f>
        <v>0</v>
      </c>
      <c r="F1012" s="1" cm="1">
        <f t="array" ref="F1012">_xlfn.XLOOKUP(Table2[[#This Row],[college]]&amp;Table2[[#This Row],[division]]&amp;Table2[[#This Row],[year]],
Teams[college]&amp;Teams[division]&amp;Teams[year],
Teams[finish], "NA")</f>
        <v>0</v>
      </c>
    </row>
    <row r="1013" spans="1:6" x14ac:dyDescent="0.3">
      <c r="A1013" t="s">
        <v>588</v>
      </c>
      <c r="B1013" t="s">
        <v>132</v>
      </c>
      <c r="C1013">
        <v>5</v>
      </c>
      <c r="D1013">
        <v>2022</v>
      </c>
      <c r="E1013" cm="1">
        <f t="array" ref="E1013">_xlfn.XLOOKUP(Table2[[#This Row],[college]]&amp;Table2[[#This Row],[division]]&amp;Table2[[#This Row],[year]],
Teams[college]&amp;Teams[division]&amp;Teams[year],
Teams[placing], "NA")</f>
        <v>7</v>
      </c>
      <c r="F1013" s="1" cm="1">
        <f t="array" ref="F1013">_xlfn.XLOOKUP(Table2[[#This Row],[college]]&amp;Table2[[#This Row],[division]]&amp;Table2[[#This Row],[year]],
Teams[college]&amp;Teams[division]&amp;Teams[year],
Teams[finish], "NA")</f>
        <v>0.63541666666666663</v>
      </c>
    </row>
    <row r="1014" spans="1:6" x14ac:dyDescent="0.3">
      <c r="A1014" t="s">
        <v>588</v>
      </c>
      <c r="B1014" t="s">
        <v>132</v>
      </c>
      <c r="C1014">
        <v>2</v>
      </c>
      <c r="D1014">
        <v>2023</v>
      </c>
      <c r="E1014" t="str" cm="1">
        <f t="array" ref="E1014">_xlfn.XLOOKUP(Table2[[#This Row],[college]]&amp;Table2[[#This Row],[division]]&amp;Table2[[#This Row],[year]],
Teams[college]&amp;Teams[division]&amp;Teams[year],
Teams[placing], "NA")</f>
        <v>DNF</v>
      </c>
      <c r="F1014" s="1" t="str" cm="1">
        <f t="array" ref="F1014">_xlfn.XLOOKUP(Table2[[#This Row],[college]]&amp;Table2[[#This Row],[division]]&amp;Table2[[#This Row],[year]],
Teams[college]&amp;Teams[division]&amp;Teams[year],
Teams[finish], "NA")</f>
        <v>NA</v>
      </c>
    </row>
    <row r="1015" spans="1:6" x14ac:dyDescent="0.3">
      <c r="A1015" t="s">
        <v>471</v>
      </c>
      <c r="B1015" t="s">
        <v>241</v>
      </c>
      <c r="C1015">
        <v>3</v>
      </c>
      <c r="D1015">
        <v>2024</v>
      </c>
      <c r="E1015" cm="1">
        <f t="array" ref="E1015">_xlfn.XLOOKUP(Table2[[#This Row],[college]]&amp;Table2[[#This Row],[division]]&amp;Table2[[#This Row],[year]],
Teams[college]&amp;Teams[division]&amp;Teams[year],
Teams[placing], "NA")</f>
        <v>2</v>
      </c>
      <c r="F1015" s="1" cm="1">
        <f t="array" ref="F1015">_xlfn.XLOOKUP(Table2[[#This Row],[college]]&amp;Table2[[#This Row],[division]]&amp;Table2[[#This Row],[year]],
Teams[college]&amp;Teams[division]&amp;Teams[year],
Teams[finish], "NA")</f>
        <v>0.58402777777777781</v>
      </c>
    </row>
    <row r="1016" spans="1:6" x14ac:dyDescent="0.3">
      <c r="A1016" t="s">
        <v>471</v>
      </c>
      <c r="B1016" t="s">
        <v>241</v>
      </c>
      <c r="C1016">
        <v>6</v>
      </c>
      <c r="D1016">
        <v>2023</v>
      </c>
      <c r="E1016" cm="1">
        <f t="array" ref="E1016">_xlfn.XLOOKUP(Table2[[#This Row],[college]]&amp;Table2[[#This Row],[division]]&amp;Table2[[#This Row],[year]],
Teams[college]&amp;Teams[division]&amp;Teams[year],
Teams[placing], "NA")</f>
        <v>4</v>
      </c>
      <c r="F1016" s="1" cm="1">
        <f t="array" ref="F1016">_xlfn.XLOOKUP(Table2[[#This Row],[college]]&amp;Table2[[#This Row],[division]]&amp;Table2[[#This Row],[year]],
Teams[college]&amp;Teams[division]&amp;Teams[year],
Teams[finish], "NA")</f>
        <v>0.65833333333333333</v>
      </c>
    </row>
    <row r="1017" spans="1:6" x14ac:dyDescent="0.3">
      <c r="A1017" t="s">
        <v>345</v>
      </c>
      <c r="B1017" t="s">
        <v>10</v>
      </c>
      <c r="C1017">
        <v>3</v>
      </c>
      <c r="D1017">
        <v>2022</v>
      </c>
      <c r="E1017" cm="1">
        <f t="array" ref="E1017">_xlfn.XLOOKUP(Table2[[#This Row],[college]]&amp;Table2[[#This Row],[division]]&amp;Table2[[#This Row],[year]],
Teams[college]&amp;Teams[division]&amp;Teams[year],
Teams[placing], "NA")</f>
        <v>3</v>
      </c>
      <c r="F1017" s="1" cm="1">
        <f t="array" ref="F1017">_xlfn.XLOOKUP(Table2[[#This Row],[college]]&amp;Table2[[#This Row],[division]]&amp;Table2[[#This Row],[year]],
Teams[college]&amp;Teams[division]&amp;Teams[year],
Teams[finish], "NA")</f>
        <v>0.48402777777777778</v>
      </c>
    </row>
    <row r="1018" spans="1:6" x14ac:dyDescent="0.3">
      <c r="A1018" t="s">
        <v>345</v>
      </c>
      <c r="B1018" t="s">
        <v>10</v>
      </c>
      <c r="C1018">
        <v>1</v>
      </c>
      <c r="D1018">
        <v>2024</v>
      </c>
      <c r="E1018" cm="1">
        <f t="array" ref="E1018">_xlfn.XLOOKUP(Table2[[#This Row],[college]]&amp;Table2[[#This Row],[division]]&amp;Table2[[#This Row],[year]],
Teams[college]&amp;Teams[division]&amp;Teams[year],
Teams[placing], "NA")</f>
        <v>5</v>
      </c>
      <c r="F1018" s="1" cm="1">
        <f t="array" ref="F1018">_xlfn.XLOOKUP(Table2[[#This Row],[college]]&amp;Table2[[#This Row],[division]]&amp;Table2[[#This Row],[year]],
Teams[college]&amp;Teams[division]&amp;Teams[year],
Teams[finish], "NA")</f>
        <v>0.62638888888888888</v>
      </c>
    </row>
    <row r="1019" spans="1:6" x14ac:dyDescent="0.3">
      <c r="A1019" t="s">
        <v>345</v>
      </c>
      <c r="B1019" t="s">
        <v>10</v>
      </c>
      <c r="C1019">
        <v>1</v>
      </c>
      <c r="D1019">
        <v>2023</v>
      </c>
      <c r="E1019" t="str" cm="1">
        <f t="array" ref="E1019">_xlfn.XLOOKUP(Table2[[#This Row],[college]]&amp;Table2[[#This Row],[division]]&amp;Table2[[#This Row],[year]],
Teams[college]&amp;Teams[division]&amp;Teams[year],
Teams[placing], "NA")</f>
        <v>DNF</v>
      </c>
      <c r="F1019" s="1" t="str" cm="1">
        <f t="array" ref="F1019">_xlfn.XLOOKUP(Table2[[#This Row],[college]]&amp;Table2[[#This Row],[division]]&amp;Table2[[#This Row],[year]],
Teams[college]&amp;Teams[division]&amp;Teams[year],
Teams[finish], "NA")</f>
        <v>NA</v>
      </c>
    </row>
    <row r="1020" spans="1:6" x14ac:dyDescent="0.3">
      <c r="A1020" t="s">
        <v>113</v>
      </c>
      <c r="B1020" t="s">
        <v>15</v>
      </c>
      <c r="C1020">
        <v>7</v>
      </c>
      <c r="D1020">
        <v>2025</v>
      </c>
      <c r="E1020" cm="1">
        <f t="array" ref="E1020">_xlfn.XLOOKUP(Table2[[#This Row],[college]]&amp;Table2[[#This Row],[division]]&amp;Table2[[#This Row],[year]],
Teams[college]&amp;Teams[division]&amp;Teams[year],
Teams[placing], "NA")</f>
        <v>5</v>
      </c>
      <c r="F1020" s="1" cm="1">
        <f t="array" ref="F1020">_xlfn.XLOOKUP(Table2[[#This Row],[college]]&amp;Table2[[#This Row],[division]]&amp;Table2[[#This Row],[year]],
Teams[college]&amp;Teams[division]&amp;Teams[year],
Teams[finish], "NA")</f>
        <v>0.51388888888888884</v>
      </c>
    </row>
    <row r="1021" spans="1:6" x14ac:dyDescent="0.3">
      <c r="A1021" t="s">
        <v>597</v>
      </c>
      <c r="B1021" t="s">
        <v>10</v>
      </c>
      <c r="C1021">
        <v>6</v>
      </c>
      <c r="D1021">
        <v>2023</v>
      </c>
      <c r="E1021" cm="1">
        <f t="array" ref="E1021">_xlfn.XLOOKUP(Table2[[#This Row],[college]]&amp;Table2[[#This Row],[division]]&amp;Table2[[#This Row],[year]],
Teams[college]&amp;Teams[division]&amp;Teams[year],
Teams[placing], "NA")</f>
        <v>4</v>
      </c>
      <c r="F1021" s="1" cm="1">
        <f t="array" ref="F1021">_xlfn.XLOOKUP(Table2[[#This Row],[college]]&amp;Table2[[#This Row],[division]]&amp;Table2[[#This Row],[year]],
Teams[college]&amp;Teams[division]&amp;Teams[year],
Teams[finish], "NA")</f>
        <v>0.65833333333333333</v>
      </c>
    </row>
    <row r="1022" spans="1:6" x14ac:dyDescent="0.3">
      <c r="A1022" t="s">
        <v>689</v>
      </c>
      <c r="B1022" t="s">
        <v>19</v>
      </c>
      <c r="C1022">
        <v>7</v>
      </c>
      <c r="D1022">
        <v>2022</v>
      </c>
      <c r="E1022" cm="1">
        <f t="array" ref="E1022">_xlfn.XLOOKUP(Table2[[#This Row],[college]]&amp;Table2[[#This Row],[division]]&amp;Table2[[#This Row],[year]],
Teams[college]&amp;Teams[division]&amp;Teams[year],
Teams[placing], "NA")</f>
        <v>4</v>
      </c>
      <c r="F1022" s="1" cm="1">
        <f t="array" ref="F1022">_xlfn.XLOOKUP(Table2[[#This Row],[college]]&amp;Table2[[#This Row],[division]]&amp;Table2[[#This Row],[year]],
Teams[college]&amp;Teams[division]&amp;Teams[year],
Teams[finish], "NA")</f>
        <v>0.45972222222222225</v>
      </c>
    </row>
    <row r="1023" spans="1:6" x14ac:dyDescent="0.3">
      <c r="A1023" t="s">
        <v>397</v>
      </c>
      <c r="B1023" t="s">
        <v>15</v>
      </c>
      <c r="C1023">
        <v>5</v>
      </c>
      <c r="D1023">
        <v>2023</v>
      </c>
      <c r="E1023" cm="1">
        <f t="array" ref="E1023">_xlfn.XLOOKUP(Table2[[#This Row],[college]]&amp;Table2[[#This Row],[division]]&amp;Table2[[#This Row],[year]],
Teams[college]&amp;Teams[division]&amp;Teams[year],
Teams[placing], "NA")</f>
        <v>2</v>
      </c>
      <c r="F1023" s="1" cm="1">
        <f t="array" ref="F1023">_xlfn.XLOOKUP(Table2[[#This Row],[college]]&amp;Table2[[#This Row],[division]]&amp;Table2[[#This Row],[year]],
Teams[college]&amp;Teams[division]&amp;Teams[year],
Teams[finish], "NA")</f>
        <v>0.5625</v>
      </c>
    </row>
    <row r="1024" spans="1:6" x14ac:dyDescent="0.3">
      <c r="A1024" t="s">
        <v>397</v>
      </c>
      <c r="B1024" t="s">
        <v>15</v>
      </c>
      <c r="C1024">
        <v>7</v>
      </c>
      <c r="D1024">
        <v>2024</v>
      </c>
      <c r="E1024" cm="1">
        <f t="array" ref="E1024">_xlfn.XLOOKUP(Table2[[#This Row],[college]]&amp;Table2[[#This Row],[division]]&amp;Table2[[#This Row],[year]],
Teams[college]&amp;Teams[division]&amp;Teams[year],
Teams[placing], "NA")</f>
        <v>1</v>
      </c>
      <c r="F1024" s="1" cm="1">
        <f t="array" ref="F1024">_xlfn.XLOOKUP(Table2[[#This Row],[college]]&amp;Table2[[#This Row],[division]]&amp;Table2[[#This Row],[year]],
Teams[college]&amp;Teams[division]&amp;Teams[year],
Teams[finish], "NA")</f>
        <v>0.56527777777777777</v>
      </c>
    </row>
    <row r="1025" spans="1:6" x14ac:dyDescent="0.3">
      <c r="A1025" t="s">
        <v>293</v>
      </c>
      <c r="B1025" t="s">
        <v>250</v>
      </c>
      <c r="C1025">
        <v>5</v>
      </c>
      <c r="D1025">
        <v>2025</v>
      </c>
      <c r="E1025" cm="1">
        <f t="array" ref="E1025">_xlfn.XLOOKUP(Table2[[#This Row],[college]]&amp;Table2[[#This Row],[division]]&amp;Table2[[#This Row],[year]],
Teams[college]&amp;Teams[division]&amp;Teams[year],
Teams[placing], "NA")</f>
        <v>8</v>
      </c>
      <c r="F1025" s="1" cm="1">
        <f t="array" ref="F1025">_xlfn.XLOOKUP(Table2[[#This Row],[college]]&amp;Table2[[#This Row],[division]]&amp;Table2[[#This Row],[year]],
Teams[college]&amp;Teams[division]&amp;Teams[year],
Teams[finish], "NA")</f>
        <v>0.54652777777777772</v>
      </c>
    </row>
    <row r="1026" spans="1:6" x14ac:dyDescent="0.3">
      <c r="A1026" t="s">
        <v>570</v>
      </c>
      <c r="B1026" t="s">
        <v>48</v>
      </c>
      <c r="C1026">
        <v>7</v>
      </c>
      <c r="D1026">
        <v>2023</v>
      </c>
      <c r="E1026" cm="1">
        <f t="array" ref="E1026">_xlfn.XLOOKUP(Table2[[#This Row],[college]]&amp;Table2[[#This Row],[division]]&amp;Table2[[#This Row],[year]],
Teams[college]&amp;Teams[division]&amp;Teams[year],
Teams[placing], "NA")</f>
        <v>4</v>
      </c>
      <c r="F1026" s="1" cm="1">
        <f t="array" ref="F1026">_xlfn.XLOOKUP(Table2[[#This Row],[college]]&amp;Table2[[#This Row],[division]]&amp;Table2[[#This Row],[year]],
Teams[college]&amp;Teams[division]&amp;Teams[year],
Teams[finish], "NA")</f>
        <v>0.55972222222222223</v>
      </c>
    </row>
    <row r="1027" spans="1:6" x14ac:dyDescent="0.3">
      <c r="A1027" t="s">
        <v>438</v>
      </c>
      <c r="B1027" t="s">
        <v>137</v>
      </c>
      <c r="C1027">
        <v>2</v>
      </c>
      <c r="D1027">
        <v>2024</v>
      </c>
      <c r="E1027" cm="1">
        <f t="array" ref="E1027">_xlfn.XLOOKUP(Table2[[#This Row],[college]]&amp;Table2[[#This Row],[division]]&amp;Table2[[#This Row],[year]],
Teams[college]&amp;Teams[division]&amp;Teams[year],
Teams[placing], "NA")</f>
        <v>3</v>
      </c>
      <c r="F1027" s="1" cm="1">
        <f t="array" ref="F1027">_xlfn.XLOOKUP(Table2[[#This Row],[college]]&amp;Table2[[#This Row],[division]]&amp;Table2[[#This Row],[year]],
Teams[college]&amp;Teams[division]&amp;Teams[year],
Teams[finish], "NA")</f>
        <v>0.52916666666666667</v>
      </c>
    </row>
    <row r="1028" spans="1:6" x14ac:dyDescent="0.3">
      <c r="A1028" t="s">
        <v>438</v>
      </c>
      <c r="B1028" t="s">
        <v>137</v>
      </c>
      <c r="C1028">
        <v>1</v>
      </c>
      <c r="D1028">
        <v>2022</v>
      </c>
      <c r="E1028" cm="1">
        <f t="array" ref="E1028">_xlfn.XLOOKUP(Table2[[#This Row],[college]]&amp;Table2[[#This Row],[division]]&amp;Table2[[#This Row],[year]],
Teams[college]&amp;Teams[division]&amp;Teams[year],
Teams[placing], "NA")</f>
        <v>4</v>
      </c>
      <c r="F1028" s="1" cm="1">
        <f t="array" ref="F1028">_xlfn.XLOOKUP(Table2[[#This Row],[college]]&amp;Table2[[#This Row],[division]]&amp;Table2[[#This Row],[year]],
Teams[college]&amp;Teams[division]&amp;Teams[year],
Teams[finish], "NA")</f>
        <v>0.60763888888888884</v>
      </c>
    </row>
    <row r="1029" spans="1:6" x14ac:dyDescent="0.3">
      <c r="A1029" t="s">
        <v>438</v>
      </c>
      <c r="B1029" t="s">
        <v>137</v>
      </c>
      <c r="C1029">
        <v>6</v>
      </c>
      <c r="D1029">
        <v>2023</v>
      </c>
      <c r="E1029" cm="1">
        <f t="array" ref="E1029">_xlfn.XLOOKUP(Table2[[#This Row],[college]]&amp;Table2[[#This Row],[division]]&amp;Table2[[#This Row],[year]],
Teams[college]&amp;Teams[division]&amp;Teams[year],
Teams[placing], "NA")</f>
        <v>9</v>
      </c>
      <c r="F1029" s="1" cm="1">
        <f t="array" ref="F1029">_xlfn.XLOOKUP(Table2[[#This Row],[college]]&amp;Table2[[#This Row],[division]]&amp;Table2[[#This Row],[year]],
Teams[college]&amp;Teams[division]&amp;Teams[year],
Teams[finish], "NA")</f>
        <v>0.68194444444444446</v>
      </c>
    </row>
    <row r="1030" spans="1:6" x14ac:dyDescent="0.3">
      <c r="A1030" t="s">
        <v>605</v>
      </c>
      <c r="B1030" t="s">
        <v>266</v>
      </c>
      <c r="C1030">
        <v>6</v>
      </c>
      <c r="D1030">
        <v>2023</v>
      </c>
      <c r="E1030" cm="1">
        <f t="array" ref="E1030">_xlfn.XLOOKUP(Table2[[#This Row],[college]]&amp;Table2[[#This Row],[division]]&amp;Table2[[#This Row],[year]],
Teams[college]&amp;Teams[division]&amp;Teams[year],
Teams[placing], "NA")</f>
        <v>2</v>
      </c>
      <c r="F1030" s="1" cm="1">
        <f t="array" ref="F1030">_xlfn.XLOOKUP(Table2[[#This Row],[college]]&amp;Table2[[#This Row],[division]]&amp;Table2[[#This Row],[year]],
Teams[college]&amp;Teams[division]&amp;Teams[year],
Teams[finish], "NA")</f>
        <v>0.55763888888888891</v>
      </c>
    </row>
    <row r="1031" spans="1:6" x14ac:dyDescent="0.3">
      <c r="A1031" t="s">
        <v>574</v>
      </c>
      <c r="B1031" t="s">
        <v>10</v>
      </c>
      <c r="C1031">
        <v>5</v>
      </c>
      <c r="D1031">
        <v>2023</v>
      </c>
      <c r="E1031" t="str" cm="1">
        <f t="array" ref="E1031">_xlfn.XLOOKUP(Table2[[#This Row],[college]]&amp;Table2[[#This Row],[division]]&amp;Table2[[#This Row],[year]],
Teams[college]&amp;Teams[division]&amp;Teams[year],
Teams[placing], "NA")</f>
        <v>DNF</v>
      </c>
      <c r="F1031" s="1" t="str" cm="1">
        <f t="array" ref="F1031">_xlfn.XLOOKUP(Table2[[#This Row],[college]]&amp;Table2[[#This Row],[division]]&amp;Table2[[#This Row],[year]],
Teams[college]&amp;Teams[division]&amp;Teams[year],
Teams[finish], "NA")</f>
        <v>NA</v>
      </c>
    </row>
    <row r="1032" spans="1:6" x14ac:dyDescent="0.3">
      <c r="A1032" t="s">
        <v>712</v>
      </c>
      <c r="B1032" t="s">
        <v>132</v>
      </c>
      <c r="C1032">
        <v>6</v>
      </c>
      <c r="D1032">
        <v>2022</v>
      </c>
      <c r="E1032" cm="1">
        <f t="array" ref="E1032">_xlfn.XLOOKUP(Table2[[#This Row],[college]]&amp;Table2[[#This Row],[division]]&amp;Table2[[#This Row],[year]],
Teams[college]&amp;Teams[division]&amp;Teams[year],
Teams[placing], "NA")</f>
        <v>8</v>
      </c>
      <c r="F1032" s="1" cm="1">
        <f t="array" ref="F1032">_xlfn.XLOOKUP(Table2[[#This Row],[college]]&amp;Table2[[#This Row],[division]]&amp;Table2[[#This Row],[year]],
Teams[college]&amp;Teams[division]&amp;Teams[year],
Teams[finish], "NA")</f>
        <v>0.66319444444444442</v>
      </c>
    </row>
    <row r="1033" spans="1:6" x14ac:dyDescent="0.3">
      <c r="A1033" t="s">
        <v>733</v>
      </c>
      <c r="B1033" t="s">
        <v>15</v>
      </c>
      <c r="C1033">
        <v>6</v>
      </c>
      <c r="D1033">
        <v>2022</v>
      </c>
      <c r="E1033" cm="1">
        <f t="array" ref="E1033">_xlfn.XLOOKUP(Table2[[#This Row],[college]]&amp;Table2[[#This Row],[division]]&amp;Table2[[#This Row],[year]],
Teams[college]&amp;Teams[division]&amp;Teams[year],
Teams[placing], "NA")</f>
        <v>4</v>
      </c>
      <c r="F1033" s="1" cm="1">
        <f t="array" ref="F1033">_xlfn.XLOOKUP(Table2[[#This Row],[college]]&amp;Table2[[#This Row],[division]]&amp;Table2[[#This Row],[year]],
Teams[college]&amp;Teams[division]&amp;Teams[year],
Teams[finish], "NA")</f>
        <v>0.50069444444444444</v>
      </c>
    </row>
    <row r="1034" spans="1:6" x14ac:dyDescent="0.3">
      <c r="A1034" t="s">
        <v>121</v>
      </c>
      <c r="B1034" t="s">
        <v>5</v>
      </c>
      <c r="C1034">
        <v>7</v>
      </c>
      <c r="D1034">
        <v>2025</v>
      </c>
      <c r="E1034" cm="1">
        <f t="array" ref="E1034">_xlfn.XLOOKUP(Table2[[#This Row],[college]]&amp;Table2[[#This Row],[division]]&amp;Table2[[#This Row],[year]],
Teams[college]&amp;Teams[division]&amp;Teams[year],
Teams[placing], "NA")</f>
        <v>7</v>
      </c>
      <c r="F1034" s="1" cm="1">
        <f t="array" ref="F1034">_xlfn.XLOOKUP(Table2[[#This Row],[college]]&amp;Table2[[#This Row],[division]]&amp;Table2[[#This Row],[year]],
Teams[college]&amp;Teams[division]&amp;Teams[year],
Teams[finish], "NA")</f>
        <v>0.51944444444444449</v>
      </c>
    </row>
    <row r="1035" spans="1:6" x14ac:dyDescent="0.3">
      <c r="A1035" t="s">
        <v>972</v>
      </c>
      <c r="B1035" t="s">
        <v>10</v>
      </c>
      <c r="C1035">
        <v>7</v>
      </c>
      <c r="D1035">
        <v>2026</v>
      </c>
      <c r="E1035" cm="1">
        <f t="array" ref="E1035">_xlfn.XLOOKUP(Table2[[#This Row],[college]]&amp;Table2[[#This Row],[division]]&amp;Table2[[#This Row],[year]],
Teams[college]&amp;Teams[division]&amp;Teams[year],
Teams[placing], "NA")</f>
        <v>0</v>
      </c>
      <c r="F1035" s="1" cm="1">
        <f t="array" ref="F1035">_xlfn.XLOOKUP(Table2[[#This Row],[college]]&amp;Table2[[#This Row],[division]]&amp;Table2[[#This Row],[year]],
Teams[college]&amp;Teams[division]&amp;Teams[year],
Teams[finish], "NA")</f>
        <v>0</v>
      </c>
    </row>
    <row r="1036" spans="1:6" x14ac:dyDescent="0.3">
      <c r="A1036" t="s">
        <v>130</v>
      </c>
      <c r="B1036" t="s">
        <v>123</v>
      </c>
      <c r="C1036">
        <v>6</v>
      </c>
      <c r="D1036">
        <v>2025</v>
      </c>
      <c r="E1036" cm="1">
        <f t="array" ref="E1036">_xlfn.XLOOKUP(Table2[[#This Row],[college]]&amp;Table2[[#This Row],[division]]&amp;Table2[[#This Row],[year]],
Teams[college]&amp;Teams[division]&amp;Teams[year],
Teams[placing], "NA")</f>
        <v>2</v>
      </c>
      <c r="F1036" s="1" cm="1">
        <f t="array" ref="F1036">_xlfn.XLOOKUP(Table2[[#This Row],[college]]&amp;Table2[[#This Row],[division]]&amp;Table2[[#This Row],[year]],
Teams[college]&amp;Teams[division]&amp;Teams[year],
Teams[finish], "NA")</f>
        <v>0.51111111111111107</v>
      </c>
    </row>
    <row r="1037" spans="1:6" x14ac:dyDescent="0.3">
      <c r="A1037" t="s">
        <v>130</v>
      </c>
      <c r="B1037" t="s">
        <v>123</v>
      </c>
      <c r="C1037">
        <v>7</v>
      </c>
      <c r="D1037">
        <v>2026</v>
      </c>
      <c r="E1037" cm="1">
        <f t="array" ref="E1037">_xlfn.XLOOKUP(Table2[[#This Row],[college]]&amp;Table2[[#This Row],[division]]&amp;Table2[[#This Row],[year]],
Teams[college]&amp;Teams[division]&amp;Teams[year],
Teams[placing], "NA")</f>
        <v>0</v>
      </c>
      <c r="F1037" s="1" cm="1">
        <f t="array" ref="F1037">_xlfn.XLOOKUP(Table2[[#This Row],[college]]&amp;Table2[[#This Row],[division]]&amp;Table2[[#This Row],[year]],
Teams[college]&amp;Teams[division]&amp;Teams[year],
Teams[finish], "NA")</f>
        <v>0</v>
      </c>
    </row>
    <row r="1038" spans="1:6" x14ac:dyDescent="0.3">
      <c r="A1038" t="s">
        <v>730</v>
      </c>
      <c r="B1038" t="s">
        <v>123</v>
      </c>
      <c r="C1038">
        <v>1</v>
      </c>
      <c r="D1038">
        <v>2022</v>
      </c>
      <c r="E1038" cm="1">
        <f t="array" ref="E1038">_xlfn.XLOOKUP(Table2[[#This Row],[college]]&amp;Table2[[#This Row],[division]]&amp;Table2[[#This Row],[year]],
Teams[college]&amp;Teams[division]&amp;Teams[year],
Teams[placing], "NA")</f>
        <v>3</v>
      </c>
      <c r="F1038" s="1" cm="1">
        <f t="array" ref="F1038">_xlfn.XLOOKUP(Table2[[#This Row],[college]]&amp;Table2[[#This Row],[division]]&amp;Table2[[#This Row],[year]],
Teams[college]&amp;Teams[division]&amp;Teams[year],
Teams[finish], "NA")</f>
        <v>0.55069444444444449</v>
      </c>
    </row>
    <row r="1039" spans="1:6" x14ac:dyDescent="0.3">
      <c r="A1039" t="s">
        <v>38</v>
      </c>
      <c r="B1039" t="s">
        <v>754</v>
      </c>
      <c r="C1039">
        <v>6</v>
      </c>
      <c r="D1039">
        <v>2025</v>
      </c>
      <c r="E1039" t="str" cm="1">
        <f t="array" ref="E1039">_xlfn.XLOOKUP(Table2[[#This Row],[college]]&amp;Table2[[#This Row],[division]]&amp;Table2[[#This Row],[year]],
Teams[college]&amp;Teams[division]&amp;Teams[year],
Teams[placing], "NA")</f>
        <v>NA</v>
      </c>
      <c r="F1039" s="1" cm="1">
        <f t="array" ref="F1039">_xlfn.XLOOKUP(Table2[[#This Row],[college]]&amp;Table2[[#This Row],[division]]&amp;Table2[[#This Row],[year]],
Teams[college]&amp;Teams[division]&amp;Teams[year],
Teams[finish], "NA")</f>
        <v>0.53194444444444444</v>
      </c>
    </row>
    <row r="1040" spans="1:6" x14ac:dyDescent="0.3">
      <c r="A1040" t="s">
        <v>38</v>
      </c>
      <c r="B1040" t="s">
        <v>19</v>
      </c>
      <c r="C1040">
        <v>4</v>
      </c>
      <c r="D1040">
        <v>2023</v>
      </c>
      <c r="E1040" cm="1">
        <f t="array" ref="E1040">_xlfn.XLOOKUP(Table2[[#This Row],[college]]&amp;Table2[[#This Row],[division]]&amp;Table2[[#This Row],[year]],
Teams[college]&amp;Teams[division]&amp;Teams[year],
Teams[placing], "NA")</f>
        <v>7</v>
      </c>
      <c r="F1040" s="1" cm="1">
        <f t="array" ref="F1040">_xlfn.XLOOKUP(Table2[[#This Row],[college]]&amp;Table2[[#This Row],[division]]&amp;Table2[[#This Row],[year]],
Teams[college]&amp;Teams[division]&amp;Teams[year],
Teams[finish], "NA")</f>
        <v>0.66249999999999998</v>
      </c>
    </row>
    <row r="1041" spans="1:6" x14ac:dyDescent="0.3">
      <c r="A1041" t="s">
        <v>38</v>
      </c>
      <c r="B1041" t="s">
        <v>19</v>
      </c>
      <c r="C1041">
        <v>3</v>
      </c>
      <c r="D1041">
        <v>2024</v>
      </c>
      <c r="E1041" cm="1">
        <f t="array" ref="E1041">_xlfn.XLOOKUP(Table2[[#This Row],[college]]&amp;Table2[[#This Row],[division]]&amp;Table2[[#This Row],[year]],
Teams[college]&amp;Teams[division]&amp;Teams[year],
Teams[placing], "NA")</f>
        <v>5</v>
      </c>
      <c r="F1041" s="1" cm="1">
        <f t="array" ref="F1041">_xlfn.XLOOKUP(Table2[[#This Row],[college]]&amp;Table2[[#This Row],[division]]&amp;Table2[[#This Row],[year]],
Teams[college]&amp;Teams[division]&amp;Teams[year],
Teams[finish], "NA")</f>
        <v>0.70138888888888884</v>
      </c>
    </row>
    <row r="1042" spans="1:6" x14ac:dyDescent="0.3">
      <c r="A1042" t="s">
        <v>482</v>
      </c>
      <c r="B1042" t="s">
        <v>15</v>
      </c>
      <c r="C1042">
        <v>7</v>
      </c>
      <c r="D1042">
        <v>2022</v>
      </c>
      <c r="E1042" cm="1">
        <f t="array" ref="E1042">_xlfn.XLOOKUP(Table2[[#This Row],[college]]&amp;Table2[[#This Row],[division]]&amp;Table2[[#This Row],[year]],
Teams[college]&amp;Teams[division]&amp;Teams[year],
Teams[placing], "NA")</f>
        <v>5</v>
      </c>
      <c r="F1042" s="1" cm="1">
        <f t="array" ref="F1042">_xlfn.XLOOKUP(Table2[[#This Row],[college]]&amp;Table2[[#This Row],[division]]&amp;Table2[[#This Row],[year]],
Teams[college]&amp;Teams[division]&amp;Teams[year],
Teams[finish], "NA")</f>
        <v>0.46388888888888891</v>
      </c>
    </row>
    <row r="1043" spans="1:6" x14ac:dyDescent="0.3">
      <c r="A1043" t="s">
        <v>482</v>
      </c>
      <c r="B1043" t="s">
        <v>15</v>
      </c>
      <c r="C1043">
        <v>3</v>
      </c>
      <c r="D1043">
        <v>2023</v>
      </c>
      <c r="E1043" t="str" cm="1">
        <f t="array" ref="E1043">_xlfn.XLOOKUP(Table2[[#This Row],[college]]&amp;Table2[[#This Row],[division]]&amp;Table2[[#This Row],[year]],
Teams[college]&amp;Teams[division]&amp;Teams[year],
Teams[placing], "NA")</f>
        <v>DNF</v>
      </c>
      <c r="F1043" s="1" t="str" cm="1">
        <f t="array" ref="F1043">_xlfn.XLOOKUP(Table2[[#This Row],[college]]&amp;Table2[[#This Row],[division]]&amp;Table2[[#This Row],[year]],
Teams[college]&amp;Teams[division]&amp;Teams[year],
Teams[finish], "NA")</f>
        <v>NA</v>
      </c>
    </row>
    <row r="1044" spans="1:6" x14ac:dyDescent="0.3">
      <c r="A1044" t="s">
        <v>482</v>
      </c>
      <c r="B1044" t="s">
        <v>15</v>
      </c>
      <c r="C1044">
        <v>3</v>
      </c>
      <c r="D1044">
        <v>2024</v>
      </c>
      <c r="E1044" t="str" cm="1">
        <f t="array" ref="E1044">_xlfn.XLOOKUP(Table2[[#This Row],[college]]&amp;Table2[[#This Row],[division]]&amp;Table2[[#This Row],[year]],
Teams[college]&amp;Teams[division]&amp;Teams[year],
Teams[placing], "NA")</f>
        <v>DQ</v>
      </c>
      <c r="F1044" s="1" t="str" cm="1">
        <f t="array" ref="F1044">_xlfn.XLOOKUP(Table2[[#This Row],[college]]&amp;Table2[[#This Row],[division]]&amp;Table2[[#This Row],[year]],
Teams[college]&amp;Teams[division]&amp;Teams[year],
Teams[finish], "NA")</f>
        <v>NA</v>
      </c>
    </row>
    <row r="1045" spans="1:6" x14ac:dyDescent="0.3">
      <c r="A1045" t="s">
        <v>655</v>
      </c>
      <c r="B1045" t="s">
        <v>123</v>
      </c>
      <c r="C1045">
        <v>4</v>
      </c>
      <c r="D1045">
        <v>2022</v>
      </c>
      <c r="E1045" cm="1">
        <f t="array" ref="E1045">_xlfn.XLOOKUP(Table2[[#This Row],[college]]&amp;Table2[[#This Row],[division]]&amp;Table2[[#This Row],[year]],
Teams[college]&amp;Teams[division]&amp;Teams[year],
Teams[placing], "NA")</f>
        <v>2</v>
      </c>
      <c r="F1045" s="1" cm="1">
        <f t="array" ref="F1045">_xlfn.XLOOKUP(Table2[[#This Row],[college]]&amp;Table2[[#This Row],[division]]&amp;Table2[[#This Row],[year]],
Teams[college]&amp;Teams[division]&amp;Teams[year],
Teams[finish], "NA")</f>
        <v>0.4465277777777778</v>
      </c>
    </row>
    <row r="1046" spans="1:6" x14ac:dyDescent="0.3">
      <c r="A1046" t="s">
        <v>22</v>
      </c>
      <c r="B1046" t="s">
        <v>19</v>
      </c>
      <c r="C1046">
        <v>3</v>
      </c>
      <c r="D1046">
        <v>2025</v>
      </c>
      <c r="E1046" cm="1">
        <f t="array" ref="E1046">_xlfn.XLOOKUP(Table2[[#This Row],[college]]&amp;Table2[[#This Row],[division]]&amp;Table2[[#This Row],[year]],
Teams[college]&amp;Teams[division]&amp;Teams[year],
Teams[placing], "NA")</f>
        <v>5</v>
      </c>
      <c r="F1046" s="1" cm="1">
        <f t="array" ref="F1046">_xlfn.XLOOKUP(Table2[[#This Row],[college]]&amp;Table2[[#This Row],[division]]&amp;Table2[[#This Row],[year]],
Teams[college]&amp;Teams[division]&amp;Teams[year],
Teams[finish], "NA")</f>
        <v>0.5708333333333333</v>
      </c>
    </row>
    <row r="1047" spans="1:6" x14ac:dyDescent="0.3">
      <c r="A1047" t="s">
        <v>644</v>
      </c>
      <c r="B1047" t="s">
        <v>754</v>
      </c>
      <c r="C1047">
        <v>5</v>
      </c>
      <c r="D1047">
        <v>2023</v>
      </c>
      <c r="E1047" t="str" cm="1">
        <f t="array" ref="E1047">_xlfn.XLOOKUP(Table2[[#This Row],[college]]&amp;Table2[[#This Row],[division]]&amp;Table2[[#This Row],[year]],
Teams[college]&amp;Teams[division]&amp;Teams[year],
Teams[placing], "NA")</f>
        <v>NA</v>
      </c>
      <c r="F1047" s="1" cm="1">
        <f t="array" ref="F1047">_xlfn.XLOOKUP(Table2[[#This Row],[college]]&amp;Table2[[#This Row],[division]]&amp;Table2[[#This Row],[year]],
Teams[college]&amp;Teams[division]&amp;Teams[year],
Teams[finish], "NA")</f>
        <v>0.61111111111111116</v>
      </c>
    </row>
    <row r="1048" spans="1:6" x14ac:dyDescent="0.3">
      <c r="A1048" t="s">
        <v>143</v>
      </c>
      <c r="B1048" t="s">
        <v>132</v>
      </c>
      <c r="C1048">
        <v>1</v>
      </c>
      <c r="D1048">
        <v>2025</v>
      </c>
      <c r="E1048" cm="1">
        <f t="array" ref="E1048">_xlfn.XLOOKUP(Table2[[#This Row],[college]]&amp;Table2[[#This Row],[division]]&amp;Table2[[#This Row],[year]],
Teams[college]&amp;Teams[division]&amp;Teams[year],
Teams[placing], "NA")</f>
        <v>7</v>
      </c>
      <c r="F1048" s="1" cm="1">
        <f t="array" ref="F1048">_xlfn.XLOOKUP(Table2[[#This Row],[college]]&amp;Table2[[#This Row],[division]]&amp;Table2[[#This Row],[year]],
Teams[college]&amp;Teams[division]&amp;Teams[year],
Teams[finish], "NA")</f>
        <v>0.65625</v>
      </c>
    </row>
    <row r="1049" spans="1:6" x14ac:dyDescent="0.3">
      <c r="A1049" t="s">
        <v>143</v>
      </c>
      <c r="B1049" t="s">
        <v>132</v>
      </c>
      <c r="C1049">
        <v>6</v>
      </c>
      <c r="D1049">
        <v>2023</v>
      </c>
      <c r="E1049" t="str" cm="1">
        <f t="array" ref="E1049">_xlfn.XLOOKUP(Table2[[#This Row],[college]]&amp;Table2[[#This Row],[division]]&amp;Table2[[#This Row],[year]],
Teams[college]&amp;Teams[division]&amp;Teams[year],
Teams[placing], "NA")</f>
        <v>DNF</v>
      </c>
      <c r="F1049" s="1" t="str" cm="1">
        <f t="array" ref="F1049">_xlfn.XLOOKUP(Table2[[#This Row],[college]]&amp;Table2[[#This Row],[division]]&amp;Table2[[#This Row],[year]],
Teams[college]&amp;Teams[division]&amp;Teams[year],
Teams[finish], "NA")</f>
        <v>NA</v>
      </c>
    </row>
    <row r="1050" spans="1:6" x14ac:dyDescent="0.3">
      <c r="A1050" t="s">
        <v>669</v>
      </c>
      <c r="B1050" t="s">
        <v>15</v>
      </c>
      <c r="C1050">
        <v>1</v>
      </c>
      <c r="D1050">
        <v>2022</v>
      </c>
      <c r="E1050" cm="1">
        <f t="array" ref="E1050">_xlfn.XLOOKUP(Table2[[#This Row],[college]]&amp;Table2[[#This Row],[division]]&amp;Table2[[#This Row],[year]],
Teams[college]&amp;Teams[division]&amp;Teams[year],
Teams[placing], "NA")</f>
        <v>2</v>
      </c>
      <c r="F1050" s="1" cm="1">
        <f t="array" ref="F1050">_xlfn.XLOOKUP(Table2[[#This Row],[college]]&amp;Table2[[#This Row],[division]]&amp;Table2[[#This Row],[year]],
Teams[college]&amp;Teams[division]&amp;Teams[year],
Teams[finish], "NA")</f>
        <v>0.48402777777777778</v>
      </c>
    </row>
    <row r="1051" spans="1:6" x14ac:dyDescent="0.3">
      <c r="A1051" t="s">
        <v>227</v>
      </c>
      <c r="B1051" t="s">
        <v>759</v>
      </c>
      <c r="C1051">
        <v>5</v>
      </c>
      <c r="D1051">
        <v>2025</v>
      </c>
      <c r="E1051" t="str" cm="1">
        <f t="array" ref="E1051">_xlfn.XLOOKUP(Table2[[#This Row],[college]]&amp;Table2[[#This Row],[division]]&amp;Table2[[#This Row],[year]],
Teams[college]&amp;Teams[division]&amp;Teams[year],
Teams[placing], "NA")</f>
        <v>NA</v>
      </c>
      <c r="F1051" s="1" cm="1">
        <f t="array" ref="F1051">_xlfn.XLOOKUP(Table2[[#This Row],[college]]&amp;Table2[[#This Row],[division]]&amp;Table2[[#This Row],[year]],
Teams[college]&amp;Teams[division]&amp;Teams[year],
Teams[finish], "NA")</f>
        <v>0.4597222222222222</v>
      </c>
    </row>
    <row r="1052" spans="1:6" x14ac:dyDescent="0.3">
      <c r="A1052" t="s">
        <v>227</v>
      </c>
      <c r="B1052" t="s">
        <v>132</v>
      </c>
      <c r="C1052">
        <v>5</v>
      </c>
      <c r="D1052">
        <v>2023</v>
      </c>
      <c r="E1052" t="str" cm="1">
        <f t="array" ref="E1052">_xlfn.XLOOKUP(Table2[[#This Row],[college]]&amp;Table2[[#This Row],[division]]&amp;Table2[[#This Row],[year]],
Teams[college]&amp;Teams[division]&amp;Teams[year],
Teams[placing], "NA")</f>
        <v>DNF</v>
      </c>
      <c r="F1052" s="1" t="str" cm="1">
        <f t="array" ref="F1052">_xlfn.XLOOKUP(Table2[[#This Row],[college]]&amp;Table2[[#This Row],[division]]&amp;Table2[[#This Row],[year]],
Teams[college]&amp;Teams[division]&amp;Teams[year],
Teams[finish], "NA")</f>
        <v>NA</v>
      </c>
    </row>
    <row r="1053" spans="1:6" x14ac:dyDescent="0.3">
      <c r="A1053" t="s">
        <v>566</v>
      </c>
      <c r="B1053" t="s">
        <v>123</v>
      </c>
      <c r="C1053">
        <v>1</v>
      </c>
      <c r="D1053">
        <v>2023</v>
      </c>
      <c r="E1053" cm="1">
        <f t="array" ref="E1053">_xlfn.XLOOKUP(Table2[[#This Row],[college]]&amp;Table2[[#This Row],[division]]&amp;Table2[[#This Row],[year]],
Teams[college]&amp;Teams[division]&amp;Teams[year],
Teams[placing], "NA")</f>
        <v>3</v>
      </c>
      <c r="F1053" s="1" cm="1">
        <f t="array" ref="F1053">_xlfn.XLOOKUP(Table2[[#This Row],[college]]&amp;Table2[[#This Row],[division]]&amp;Table2[[#This Row],[year]],
Teams[college]&amp;Teams[division]&amp;Teams[year],
Teams[finish], "NA")</f>
        <v>0.67708333333333337</v>
      </c>
    </row>
    <row r="1054" spans="1:6" x14ac:dyDescent="0.3">
      <c r="A1054" t="s">
        <v>862</v>
      </c>
      <c r="B1054" t="s">
        <v>250</v>
      </c>
      <c r="C1054">
        <v>4</v>
      </c>
      <c r="D1054">
        <v>2026</v>
      </c>
      <c r="E1054" cm="1">
        <f t="array" ref="E1054">_xlfn.XLOOKUP(Table2[[#This Row],[college]]&amp;Table2[[#This Row],[division]]&amp;Table2[[#This Row],[year]],
Teams[college]&amp;Teams[division]&amp;Teams[year],
Teams[placing], "NA")</f>
        <v>0</v>
      </c>
      <c r="F1054" s="1" cm="1">
        <f t="array" ref="F1054">_xlfn.XLOOKUP(Table2[[#This Row],[college]]&amp;Table2[[#This Row],[division]]&amp;Table2[[#This Row],[year]],
Teams[college]&amp;Teams[division]&amp;Teams[year],
Teams[finish], "NA")</f>
        <v>0</v>
      </c>
    </row>
    <row r="1055" spans="1:6" x14ac:dyDescent="0.3">
      <c r="A1055" t="s">
        <v>492</v>
      </c>
      <c r="B1055" t="s">
        <v>48</v>
      </c>
      <c r="C1055">
        <v>1</v>
      </c>
      <c r="D1055">
        <v>2024</v>
      </c>
      <c r="E1055" cm="1">
        <f t="array" ref="E1055">_xlfn.XLOOKUP(Table2[[#This Row],[college]]&amp;Table2[[#This Row],[division]]&amp;Table2[[#This Row],[year]],
Teams[college]&amp;Teams[division]&amp;Teams[year],
Teams[placing], "NA")</f>
        <v>3</v>
      </c>
      <c r="F1055" s="1" cm="1">
        <f t="array" ref="F1055">_xlfn.XLOOKUP(Table2[[#This Row],[college]]&amp;Table2[[#This Row],[division]]&amp;Table2[[#This Row],[year]],
Teams[college]&amp;Teams[division]&amp;Teams[year],
Teams[finish], "NA")</f>
        <v>0.55138888888888893</v>
      </c>
    </row>
    <row r="1056" spans="1:6" x14ac:dyDescent="0.3">
      <c r="A1056" t="s">
        <v>492</v>
      </c>
      <c r="B1056" t="s">
        <v>48</v>
      </c>
      <c r="C1056">
        <v>6</v>
      </c>
      <c r="D1056">
        <v>2022</v>
      </c>
      <c r="E1056" cm="1">
        <f t="array" ref="E1056">_xlfn.XLOOKUP(Table2[[#This Row],[college]]&amp;Table2[[#This Row],[division]]&amp;Table2[[#This Row],[year]],
Teams[college]&amp;Teams[division]&amp;Teams[year],
Teams[placing], "NA")</f>
        <v>7</v>
      </c>
      <c r="F1056" s="1" cm="1">
        <f t="array" ref="F1056">_xlfn.XLOOKUP(Table2[[#This Row],[college]]&amp;Table2[[#This Row],[division]]&amp;Table2[[#This Row],[year]],
Teams[college]&amp;Teams[division]&amp;Teams[year],
Teams[finish], "NA")</f>
        <v>0.64305555555555549</v>
      </c>
    </row>
    <row r="1057" spans="1:6" x14ac:dyDescent="0.3">
      <c r="A1057" t="s">
        <v>492</v>
      </c>
      <c r="B1057" t="s">
        <v>48</v>
      </c>
      <c r="C1057">
        <v>5</v>
      </c>
      <c r="D1057">
        <v>2023</v>
      </c>
      <c r="E1057" cm="1">
        <f t="array" ref="E1057">_xlfn.XLOOKUP(Table2[[#This Row],[college]]&amp;Table2[[#This Row],[division]]&amp;Table2[[#This Row],[year]],
Teams[college]&amp;Teams[division]&amp;Teams[year],
Teams[placing], "NA")</f>
        <v>8</v>
      </c>
      <c r="F1057" s="1" cm="1">
        <f t="array" ref="F1057">_xlfn.XLOOKUP(Table2[[#This Row],[college]]&amp;Table2[[#This Row],[division]]&amp;Table2[[#This Row],[year]],
Teams[college]&amp;Teams[division]&amp;Teams[year],
Teams[finish], "NA")</f>
        <v>0.68055555555555558</v>
      </c>
    </row>
    <row r="1058" spans="1:6" x14ac:dyDescent="0.3">
      <c r="A1058" t="s">
        <v>683</v>
      </c>
      <c r="B1058" t="s">
        <v>19</v>
      </c>
      <c r="C1058">
        <v>6</v>
      </c>
      <c r="D1058">
        <v>2022</v>
      </c>
      <c r="E1058" cm="1">
        <f t="array" ref="E1058">_xlfn.XLOOKUP(Table2[[#This Row],[college]]&amp;Table2[[#This Row],[division]]&amp;Table2[[#This Row],[year]],
Teams[college]&amp;Teams[division]&amp;Teams[year],
Teams[placing], "NA")</f>
        <v>2</v>
      </c>
      <c r="F1058" s="1" cm="1">
        <f t="array" ref="F1058">_xlfn.XLOOKUP(Table2[[#This Row],[college]]&amp;Table2[[#This Row],[division]]&amp;Table2[[#This Row],[year]],
Teams[college]&amp;Teams[division]&amp;Teams[year],
Teams[finish], "NA")</f>
        <v>0.49027777777777781</v>
      </c>
    </row>
    <row r="1059" spans="1:6" x14ac:dyDescent="0.3">
      <c r="A1059" t="s">
        <v>520</v>
      </c>
      <c r="B1059" t="s">
        <v>19</v>
      </c>
      <c r="C1059">
        <v>5</v>
      </c>
      <c r="D1059">
        <v>2022</v>
      </c>
      <c r="E1059" cm="1">
        <f t="array" ref="E1059">_xlfn.XLOOKUP(Table2[[#This Row],[college]]&amp;Table2[[#This Row],[division]]&amp;Table2[[#This Row],[year]],
Teams[college]&amp;Teams[division]&amp;Teams[year],
Teams[placing], "NA")</f>
        <v>3</v>
      </c>
      <c r="F1059" s="1" cm="1">
        <f t="array" ref="F1059">_xlfn.XLOOKUP(Table2[[#This Row],[college]]&amp;Table2[[#This Row],[division]]&amp;Table2[[#This Row],[year]],
Teams[college]&amp;Teams[division]&amp;Teams[year],
Teams[finish], "NA")</f>
        <v>0.51944444444444449</v>
      </c>
    </row>
    <row r="1060" spans="1:6" x14ac:dyDescent="0.3">
      <c r="A1060" t="s">
        <v>520</v>
      </c>
      <c r="B1060" t="s">
        <v>19</v>
      </c>
      <c r="C1060">
        <v>4</v>
      </c>
      <c r="D1060">
        <v>2023</v>
      </c>
      <c r="E1060" cm="1">
        <f t="array" ref="E1060">_xlfn.XLOOKUP(Table2[[#This Row],[college]]&amp;Table2[[#This Row],[division]]&amp;Table2[[#This Row],[year]],
Teams[college]&amp;Teams[division]&amp;Teams[year],
Teams[placing], "NA")</f>
        <v>7</v>
      </c>
      <c r="F1060" s="1" cm="1">
        <f t="array" ref="F1060">_xlfn.XLOOKUP(Table2[[#This Row],[college]]&amp;Table2[[#This Row],[division]]&amp;Table2[[#This Row],[year]],
Teams[college]&amp;Teams[division]&amp;Teams[year],
Teams[finish], "NA")</f>
        <v>0.66249999999999998</v>
      </c>
    </row>
    <row r="1061" spans="1:6" x14ac:dyDescent="0.3">
      <c r="A1061" t="s">
        <v>18</v>
      </c>
      <c r="B1061" t="s">
        <v>15</v>
      </c>
      <c r="C1061">
        <v>6</v>
      </c>
      <c r="D1061">
        <v>2025</v>
      </c>
      <c r="E1061" t="str" cm="1">
        <f t="array" ref="E1061">_xlfn.XLOOKUP(Table2[[#This Row],[college]]&amp;Table2[[#This Row],[division]]&amp;Table2[[#This Row],[year]],
Teams[college]&amp;Teams[division]&amp;Teams[year],
Teams[placing], "NA")</f>
        <v>DNF</v>
      </c>
      <c r="F1061" s="1" t="str" cm="1">
        <f t="array" ref="F1061">_xlfn.XLOOKUP(Table2[[#This Row],[college]]&amp;Table2[[#This Row],[division]]&amp;Table2[[#This Row],[year]],
Teams[college]&amp;Teams[division]&amp;Teams[year],
Teams[finish], "NA")</f>
        <v>NA</v>
      </c>
    </row>
    <row r="1062" spans="1:6" x14ac:dyDescent="0.3">
      <c r="A1062" t="s">
        <v>267</v>
      </c>
      <c r="B1062" t="s">
        <v>266</v>
      </c>
      <c r="C1062">
        <v>6</v>
      </c>
      <c r="D1062">
        <v>2025</v>
      </c>
      <c r="E1062" cm="1">
        <f t="array" ref="E1062">_xlfn.XLOOKUP(Table2[[#This Row],[college]]&amp;Table2[[#This Row],[division]]&amp;Table2[[#This Row],[year]],
Teams[college]&amp;Teams[division]&amp;Teams[year],
Teams[placing], "NA")</f>
        <v>8</v>
      </c>
      <c r="F1062" s="1" cm="1">
        <f t="array" ref="F1062">_xlfn.XLOOKUP(Table2[[#This Row],[college]]&amp;Table2[[#This Row],[division]]&amp;Table2[[#This Row],[year]],
Teams[college]&amp;Teams[division]&amp;Teams[year],
Teams[finish], "NA")</f>
        <v>0.67152777777777772</v>
      </c>
    </row>
    <row r="1063" spans="1:6" x14ac:dyDescent="0.3">
      <c r="A1063" t="s">
        <v>499</v>
      </c>
      <c r="B1063" t="s">
        <v>19</v>
      </c>
      <c r="C1063">
        <v>2</v>
      </c>
      <c r="D1063">
        <v>2023</v>
      </c>
      <c r="E1063" cm="1">
        <f t="array" ref="E1063">_xlfn.XLOOKUP(Table2[[#This Row],[college]]&amp;Table2[[#This Row],[division]]&amp;Table2[[#This Row],[year]],
Teams[college]&amp;Teams[division]&amp;Teams[year],
Teams[placing], "NA")</f>
        <v>3</v>
      </c>
      <c r="F1063" s="1" cm="1">
        <f t="array" ref="F1063">_xlfn.XLOOKUP(Table2[[#This Row],[college]]&amp;Table2[[#This Row],[division]]&amp;Table2[[#This Row],[year]],
Teams[college]&amp;Teams[division]&amp;Teams[year],
Teams[finish], "NA")</f>
        <v>0.58750000000000002</v>
      </c>
    </row>
    <row r="1064" spans="1:6" x14ac:dyDescent="0.3">
      <c r="A1064" t="s">
        <v>499</v>
      </c>
      <c r="B1064" t="s">
        <v>19</v>
      </c>
      <c r="C1064">
        <v>2</v>
      </c>
      <c r="D1064">
        <v>2024</v>
      </c>
      <c r="E1064" cm="1">
        <f t="array" ref="E1064">_xlfn.XLOOKUP(Table2[[#This Row],[college]]&amp;Table2[[#This Row],[division]]&amp;Table2[[#This Row],[year]],
Teams[college]&amp;Teams[division]&amp;Teams[year],
Teams[placing], "NA")</f>
        <v>6</v>
      </c>
      <c r="F1064" s="1" cm="1">
        <f t="array" ref="F1064">_xlfn.XLOOKUP(Table2[[#This Row],[college]]&amp;Table2[[#This Row],[division]]&amp;Table2[[#This Row],[year]],
Teams[college]&amp;Teams[division]&amp;Teams[year],
Teams[finish], "NA")</f>
        <v>0.59305555555555556</v>
      </c>
    </row>
    <row r="1065" spans="1:6" x14ac:dyDescent="0.3">
      <c r="A1065" t="s">
        <v>254</v>
      </c>
      <c r="B1065" t="s">
        <v>250</v>
      </c>
      <c r="C1065">
        <v>6</v>
      </c>
      <c r="D1065">
        <v>2026</v>
      </c>
      <c r="E1065" cm="1">
        <f t="array" ref="E1065">_xlfn.XLOOKUP(Table2[[#This Row],[college]]&amp;Table2[[#This Row],[division]]&amp;Table2[[#This Row],[year]],
Teams[college]&amp;Teams[division]&amp;Teams[year],
Teams[placing], "NA")</f>
        <v>0</v>
      </c>
      <c r="F1065" s="1" cm="1">
        <f t="array" ref="F1065">_xlfn.XLOOKUP(Table2[[#This Row],[college]]&amp;Table2[[#This Row],[division]]&amp;Table2[[#This Row],[year]],
Teams[college]&amp;Teams[division]&amp;Teams[year],
Teams[finish], "NA")</f>
        <v>0</v>
      </c>
    </row>
    <row r="1066" spans="1:6" x14ac:dyDescent="0.3">
      <c r="A1066" t="s">
        <v>254</v>
      </c>
      <c r="B1066" t="s">
        <v>250</v>
      </c>
      <c r="C1066">
        <v>5</v>
      </c>
      <c r="D1066">
        <v>2023</v>
      </c>
      <c r="E1066" cm="1">
        <f t="array" ref="E1066">_xlfn.XLOOKUP(Table2[[#This Row],[college]]&amp;Table2[[#This Row],[division]]&amp;Table2[[#This Row],[year]],
Teams[college]&amp;Teams[division]&amp;Teams[year],
Teams[placing], "NA")</f>
        <v>5</v>
      </c>
      <c r="F1066" s="1" cm="1">
        <f t="array" ref="F1066">_xlfn.XLOOKUP(Table2[[#This Row],[college]]&amp;Table2[[#This Row],[division]]&amp;Table2[[#This Row],[year]],
Teams[college]&amp;Teams[division]&amp;Teams[year],
Teams[finish], "NA")</f>
        <v>0.65277777777777779</v>
      </c>
    </row>
    <row r="1067" spans="1:6" x14ac:dyDescent="0.3">
      <c r="A1067" t="s">
        <v>254</v>
      </c>
      <c r="B1067" t="s">
        <v>250</v>
      </c>
      <c r="C1067">
        <v>1</v>
      </c>
      <c r="D1067">
        <v>2025</v>
      </c>
      <c r="E1067" cm="1">
        <f t="array" ref="E1067">_xlfn.XLOOKUP(Table2[[#This Row],[college]]&amp;Table2[[#This Row],[division]]&amp;Table2[[#This Row],[year]],
Teams[college]&amp;Teams[division]&amp;Teams[year],
Teams[placing], "NA")</f>
        <v>9</v>
      </c>
      <c r="F1067" s="1" cm="1">
        <f t="array" ref="F1067">_xlfn.XLOOKUP(Table2[[#This Row],[college]]&amp;Table2[[#This Row],[division]]&amp;Table2[[#This Row],[year]],
Teams[college]&amp;Teams[division]&amp;Teams[year],
Teams[finish], "NA")</f>
        <v>0.68680555555555556</v>
      </c>
    </row>
    <row r="1068" spans="1:6" x14ac:dyDescent="0.3">
      <c r="A1068" t="s">
        <v>254</v>
      </c>
      <c r="B1068" t="s">
        <v>250</v>
      </c>
      <c r="C1068">
        <v>4</v>
      </c>
      <c r="D1068">
        <v>2024</v>
      </c>
      <c r="E1068" t="str" cm="1">
        <f t="array" ref="E1068">_xlfn.XLOOKUP(Table2[[#This Row],[college]]&amp;Table2[[#This Row],[division]]&amp;Table2[[#This Row],[year]],
Teams[college]&amp;Teams[division]&amp;Teams[year],
Teams[placing], "NA")</f>
        <v>DNF</v>
      </c>
      <c r="F1068" s="1" t="str" cm="1">
        <f t="array" ref="F1068">_xlfn.XLOOKUP(Table2[[#This Row],[college]]&amp;Table2[[#This Row],[division]]&amp;Table2[[#This Row],[year]],
Teams[college]&amp;Teams[division]&amp;Teams[year],
Teams[finish], "NA")</f>
        <v>NA</v>
      </c>
    </row>
    <row r="1069" spans="1:6" x14ac:dyDescent="0.3">
      <c r="A1069" t="s">
        <v>54</v>
      </c>
      <c r="B1069" t="s">
        <v>19</v>
      </c>
      <c r="C1069">
        <v>1</v>
      </c>
      <c r="D1069">
        <v>2025</v>
      </c>
      <c r="E1069" cm="1">
        <f t="array" ref="E1069">_xlfn.XLOOKUP(Table2[[#This Row],[college]]&amp;Table2[[#This Row],[division]]&amp;Table2[[#This Row],[year]],
Teams[college]&amp;Teams[division]&amp;Teams[year],
Teams[placing], "NA")</f>
        <v>4</v>
      </c>
      <c r="F1069" s="1" cm="1">
        <f t="array" ref="F1069">_xlfn.XLOOKUP(Table2[[#This Row],[college]]&amp;Table2[[#This Row],[division]]&amp;Table2[[#This Row],[year]],
Teams[college]&amp;Teams[division]&amp;Teams[year],
Teams[finish], "NA")</f>
        <v>0.57013888888888886</v>
      </c>
    </row>
    <row r="1070" spans="1:6" x14ac:dyDescent="0.3">
      <c r="A1070" t="s">
        <v>54</v>
      </c>
      <c r="B1070" t="s">
        <v>19</v>
      </c>
      <c r="C1070">
        <v>2</v>
      </c>
      <c r="D1070">
        <v>2024</v>
      </c>
      <c r="E1070" cm="1">
        <f t="array" ref="E1070">_xlfn.XLOOKUP(Table2[[#This Row],[college]]&amp;Table2[[#This Row],[division]]&amp;Table2[[#This Row],[year]],
Teams[college]&amp;Teams[division]&amp;Teams[year],
Teams[placing], "NA")</f>
        <v>6</v>
      </c>
      <c r="F1070" s="1" cm="1">
        <f t="array" ref="F1070">_xlfn.XLOOKUP(Table2[[#This Row],[college]]&amp;Table2[[#This Row],[division]]&amp;Table2[[#This Row],[year]],
Teams[college]&amp;Teams[division]&amp;Teams[year],
Teams[finish], "NA")</f>
        <v>0.59305555555555556</v>
      </c>
    </row>
    <row r="1071" spans="1:6" x14ac:dyDescent="0.3">
      <c r="A1071" t="s">
        <v>633</v>
      </c>
      <c r="B1071" t="s">
        <v>19</v>
      </c>
      <c r="C1071">
        <v>5</v>
      </c>
      <c r="D1071">
        <v>2023</v>
      </c>
      <c r="E1071" cm="1">
        <f t="array" ref="E1071">_xlfn.XLOOKUP(Table2[[#This Row],[college]]&amp;Table2[[#This Row],[division]]&amp;Table2[[#This Row],[year]],
Teams[college]&amp;Teams[division]&amp;Teams[year],
Teams[placing], "NA")</f>
        <v>1</v>
      </c>
      <c r="F1071" s="1" cm="1">
        <f t="array" ref="F1071">_xlfn.XLOOKUP(Table2[[#This Row],[college]]&amp;Table2[[#This Row],[division]]&amp;Table2[[#This Row],[year]],
Teams[college]&amp;Teams[division]&amp;Teams[year],
Teams[finish], "NA")</f>
        <v>0.55625000000000002</v>
      </c>
    </row>
    <row r="1072" spans="1:6" x14ac:dyDescent="0.3">
      <c r="A1072" t="s">
        <v>272</v>
      </c>
      <c r="B1072" t="s">
        <v>250</v>
      </c>
      <c r="C1072">
        <v>4</v>
      </c>
      <c r="D1072">
        <v>2025</v>
      </c>
      <c r="E1072" cm="1">
        <f t="array" ref="E1072">_xlfn.XLOOKUP(Table2[[#This Row],[college]]&amp;Table2[[#This Row],[division]]&amp;Table2[[#This Row],[year]],
Teams[college]&amp;Teams[division]&amp;Teams[year],
Teams[placing], "NA")</f>
        <v>8</v>
      </c>
      <c r="F1072" s="1" cm="1">
        <f t="array" ref="F1072">_xlfn.XLOOKUP(Table2[[#This Row],[college]]&amp;Table2[[#This Row],[division]]&amp;Table2[[#This Row],[year]],
Teams[college]&amp;Teams[division]&amp;Teams[year],
Teams[finish], "NA")</f>
        <v>0.6875</v>
      </c>
    </row>
    <row r="1073" spans="1:6" x14ac:dyDescent="0.3">
      <c r="A1073" t="s">
        <v>166</v>
      </c>
      <c r="B1073" t="s">
        <v>137</v>
      </c>
      <c r="C1073">
        <v>5</v>
      </c>
      <c r="D1073">
        <v>2025</v>
      </c>
      <c r="E1073" cm="1">
        <f t="array" ref="E1073">_xlfn.XLOOKUP(Table2[[#This Row],[college]]&amp;Table2[[#This Row],[division]]&amp;Table2[[#This Row],[year]],
Teams[college]&amp;Teams[division]&amp;Teams[year],
Teams[placing], "NA")</f>
        <v>5</v>
      </c>
      <c r="F1073" s="1" cm="1">
        <f t="array" ref="F1073">_xlfn.XLOOKUP(Table2[[#This Row],[college]]&amp;Table2[[#This Row],[division]]&amp;Table2[[#This Row],[year]],
Teams[college]&amp;Teams[division]&amp;Teams[year],
Teams[finish], "NA")</f>
        <v>0.47847222222222224</v>
      </c>
    </row>
    <row r="1074" spans="1:6" x14ac:dyDescent="0.3">
      <c r="A1074" t="s">
        <v>166</v>
      </c>
      <c r="B1074" t="s">
        <v>787</v>
      </c>
      <c r="C1074">
        <v>2</v>
      </c>
      <c r="D1074">
        <v>2026</v>
      </c>
      <c r="E1074" t="str" cm="1">
        <f t="array" ref="E1074">_xlfn.XLOOKUP(Table2[[#This Row],[college]]&amp;Table2[[#This Row],[division]]&amp;Table2[[#This Row],[year]],
Teams[college]&amp;Teams[division]&amp;Teams[year],
Teams[placing], "NA")</f>
        <v>NA</v>
      </c>
      <c r="F1074" s="1" t="str" cm="1">
        <f t="array" ref="F1074">_xlfn.XLOOKUP(Table2[[#This Row],[college]]&amp;Table2[[#This Row],[division]]&amp;Table2[[#This Row],[year]],
Teams[college]&amp;Teams[division]&amp;Teams[year],
Teams[finish], "NA")</f>
        <v>NA</v>
      </c>
    </row>
    <row r="1075" spans="1:6" x14ac:dyDescent="0.3">
      <c r="A1075" t="s">
        <v>407</v>
      </c>
      <c r="B1075" t="s">
        <v>137</v>
      </c>
      <c r="C1075">
        <v>4</v>
      </c>
      <c r="D1075">
        <v>2023</v>
      </c>
      <c r="E1075" cm="1">
        <f t="array" ref="E1075">_xlfn.XLOOKUP(Table2[[#This Row],[college]]&amp;Table2[[#This Row],[division]]&amp;Table2[[#This Row],[year]],
Teams[college]&amp;Teams[division]&amp;Teams[year],
Teams[placing], "NA")</f>
        <v>1</v>
      </c>
      <c r="F1075" s="1" cm="1">
        <f t="array" ref="F1075">_xlfn.XLOOKUP(Table2[[#This Row],[college]]&amp;Table2[[#This Row],[division]]&amp;Table2[[#This Row],[year]],
Teams[college]&amp;Teams[division]&amp;Teams[year],
Teams[finish], "NA")</f>
        <v>0.52777777777777779</v>
      </c>
    </row>
    <row r="1076" spans="1:6" x14ac:dyDescent="0.3">
      <c r="A1076" t="s">
        <v>407</v>
      </c>
      <c r="B1076" t="s">
        <v>137</v>
      </c>
      <c r="C1076">
        <v>5</v>
      </c>
      <c r="D1076">
        <v>2024</v>
      </c>
      <c r="E1076" cm="1">
        <f t="array" ref="E1076">_xlfn.XLOOKUP(Table2[[#This Row],[college]]&amp;Table2[[#This Row],[division]]&amp;Table2[[#This Row],[year]],
Teams[college]&amp;Teams[division]&amp;Teams[year],
Teams[placing], "NA")</f>
        <v>3</v>
      </c>
      <c r="F1076" s="1" cm="1">
        <f t="array" ref="F1076">_xlfn.XLOOKUP(Table2[[#This Row],[college]]&amp;Table2[[#This Row],[division]]&amp;Table2[[#This Row],[year]],
Teams[college]&amp;Teams[division]&amp;Teams[year],
Teams[finish], "NA")</f>
        <v>0.59444444444444444</v>
      </c>
    </row>
    <row r="1077" spans="1:6" x14ac:dyDescent="0.3">
      <c r="A1077" t="s">
        <v>75</v>
      </c>
      <c r="B1077" t="s">
        <v>19</v>
      </c>
      <c r="C1077">
        <v>2</v>
      </c>
      <c r="D1077">
        <v>2025</v>
      </c>
      <c r="E1077" cm="1">
        <f t="array" ref="E1077">_xlfn.XLOOKUP(Table2[[#This Row],[college]]&amp;Table2[[#This Row],[division]]&amp;Table2[[#This Row],[year]],
Teams[college]&amp;Teams[division]&amp;Teams[year],
Teams[placing], "NA")</f>
        <v>4</v>
      </c>
      <c r="F1077" s="1" cm="1">
        <f t="array" ref="F1077">_xlfn.XLOOKUP(Table2[[#This Row],[college]]&amp;Table2[[#This Row],[division]]&amp;Table2[[#This Row],[year]],
Teams[college]&amp;Teams[division]&amp;Teams[year],
Teams[finish], "NA")</f>
        <v>0.57013888888888886</v>
      </c>
    </row>
    <row r="1078" spans="1:6" x14ac:dyDescent="0.3">
      <c r="A1078" t="s">
        <v>59</v>
      </c>
      <c r="B1078" t="s">
        <v>19</v>
      </c>
      <c r="C1078">
        <v>5</v>
      </c>
      <c r="D1078">
        <v>2025</v>
      </c>
      <c r="E1078" cm="1">
        <f t="array" ref="E1078">_xlfn.XLOOKUP(Table2[[#This Row],[college]]&amp;Table2[[#This Row],[division]]&amp;Table2[[#This Row],[year]],
Teams[college]&amp;Teams[division]&amp;Teams[year],
Teams[placing], "NA")</f>
        <v>9</v>
      </c>
      <c r="F1078" s="1" cm="1">
        <f t="array" ref="F1078">_xlfn.XLOOKUP(Table2[[#This Row],[college]]&amp;Table2[[#This Row],[division]]&amp;Table2[[#This Row],[year]],
Teams[college]&amp;Teams[division]&amp;Teams[year],
Teams[finish], "NA")</f>
        <v>0.5756944444444444</v>
      </c>
    </row>
    <row r="1079" spans="1:6" x14ac:dyDescent="0.3">
      <c r="A1079" t="s">
        <v>71</v>
      </c>
      <c r="B1079" t="s">
        <v>15</v>
      </c>
      <c r="C1079">
        <v>5</v>
      </c>
      <c r="D1079">
        <v>2022</v>
      </c>
      <c r="E1079" cm="1">
        <f t="array" ref="E1079">_xlfn.XLOOKUP(Table2[[#This Row],[college]]&amp;Table2[[#This Row],[division]]&amp;Table2[[#This Row],[year]],
Teams[college]&amp;Teams[division]&amp;Teams[year],
Teams[placing], "NA")</f>
        <v>2</v>
      </c>
      <c r="F1079" s="1" cm="1">
        <f t="array" ref="F1079">_xlfn.XLOOKUP(Table2[[#This Row],[college]]&amp;Table2[[#This Row],[division]]&amp;Table2[[#This Row],[year]],
Teams[college]&amp;Teams[division]&amp;Teams[year],
Teams[finish], "NA")</f>
        <v>0.44722222222222219</v>
      </c>
    </row>
    <row r="1080" spans="1:6" x14ac:dyDescent="0.3">
      <c r="A1080" t="s">
        <v>71</v>
      </c>
      <c r="B1080" t="s">
        <v>15</v>
      </c>
      <c r="C1080">
        <v>1</v>
      </c>
      <c r="D1080">
        <v>2024</v>
      </c>
      <c r="E1080" cm="1">
        <f t="array" ref="E1080">_xlfn.XLOOKUP(Table2[[#This Row],[college]]&amp;Table2[[#This Row],[division]]&amp;Table2[[#This Row],[year]],
Teams[college]&amp;Teams[division]&amp;Teams[year],
Teams[placing], "NA")</f>
        <v>2</v>
      </c>
      <c r="F1080" s="1" cm="1">
        <f t="array" ref="F1080">_xlfn.XLOOKUP(Table2[[#This Row],[college]]&amp;Table2[[#This Row],[division]]&amp;Table2[[#This Row],[year]],
Teams[college]&amp;Teams[division]&amp;Teams[year],
Teams[finish], "NA")</f>
        <v>0.52638888888888891</v>
      </c>
    </row>
    <row r="1081" spans="1:6" x14ac:dyDescent="0.3">
      <c r="A1081" t="s">
        <v>71</v>
      </c>
      <c r="B1081" t="s">
        <v>5</v>
      </c>
      <c r="C1081">
        <v>4</v>
      </c>
      <c r="D1081">
        <v>2025</v>
      </c>
      <c r="E1081" cm="1">
        <f t="array" ref="E1081">_xlfn.XLOOKUP(Table2[[#This Row],[college]]&amp;Table2[[#This Row],[division]]&amp;Table2[[#This Row],[year]],
Teams[college]&amp;Teams[division]&amp;Teams[year],
Teams[placing], "NA")</f>
        <v>2</v>
      </c>
      <c r="F1081" s="1" cm="1">
        <f t="array" ref="F1081">_xlfn.XLOOKUP(Table2[[#This Row],[college]]&amp;Table2[[#This Row],[division]]&amp;Table2[[#This Row],[year]],
Teams[college]&amp;Teams[division]&amp;Teams[year],
Teams[finish], "NA")</f>
        <v>0.57222222222222219</v>
      </c>
    </row>
    <row r="1082" spans="1:6" x14ac:dyDescent="0.3">
      <c r="A1082" t="s">
        <v>71</v>
      </c>
      <c r="B1082" t="s">
        <v>15</v>
      </c>
      <c r="C1082">
        <v>1</v>
      </c>
      <c r="D1082">
        <v>2026</v>
      </c>
      <c r="E1082" cm="1">
        <f t="array" ref="E1082">_xlfn.XLOOKUP(Table2[[#This Row],[college]]&amp;Table2[[#This Row],[division]]&amp;Table2[[#This Row],[year]],
Teams[college]&amp;Teams[division]&amp;Teams[year],
Teams[placing], "NA")</f>
        <v>0</v>
      </c>
      <c r="F1082" s="1" cm="1">
        <f t="array" ref="F1082">_xlfn.XLOOKUP(Table2[[#This Row],[college]]&amp;Table2[[#This Row],[division]]&amp;Table2[[#This Row],[year]],
Teams[college]&amp;Teams[division]&amp;Teams[year],
Teams[finish], "NA")</f>
        <v>0</v>
      </c>
    </row>
    <row r="1083" spans="1:6" x14ac:dyDescent="0.3">
      <c r="A1083" t="s">
        <v>152</v>
      </c>
      <c r="B1083" t="s">
        <v>137</v>
      </c>
      <c r="C1083">
        <v>1</v>
      </c>
      <c r="D1083">
        <v>2025</v>
      </c>
      <c r="E1083" cm="1">
        <f t="array" ref="E1083">_xlfn.XLOOKUP(Table2[[#This Row],[college]]&amp;Table2[[#This Row],[division]]&amp;Table2[[#This Row],[year]],
Teams[college]&amp;Teams[division]&amp;Teams[year],
Teams[placing], "NA")</f>
        <v>5</v>
      </c>
      <c r="F1083" s="1" cm="1">
        <f t="array" ref="F1083">_xlfn.XLOOKUP(Table2[[#This Row],[college]]&amp;Table2[[#This Row],[division]]&amp;Table2[[#This Row],[year]],
Teams[college]&amp;Teams[division]&amp;Teams[year],
Teams[finish], "NA")</f>
        <v>0.59861111111111109</v>
      </c>
    </row>
    <row r="1084" spans="1:6" x14ac:dyDescent="0.3">
      <c r="A1084" t="s">
        <v>152</v>
      </c>
      <c r="B1084" t="s">
        <v>137</v>
      </c>
      <c r="C1084">
        <v>1</v>
      </c>
      <c r="D1084">
        <v>2024</v>
      </c>
      <c r="E1084" t="str" cm="1">
        <f t="array" ref="E1084">_xlfn.XLOOKUP(Table2[[#This Row],[college]]&amp;Table2[[#This Row],[division]]&amp;Table2[[#This Row],[year]],
Teams[college]&amp;Teams[division]&amp;Teams[year],
Teams[placing], "NA")</f>
        <v>DNF</v>
      </c>
      <c r="F1084" s="1" t="str" cm="1">
        <f t="array" ref="F1084">_xlfn.XLOOKUP(Table2[[#This Row],[college]]&amp;Table2[[#This Row],[division]]&amp;Table2[[#This Row],[year]],
Teams[college]&amp;Teams[division]&amp;Teams[year],
Teams[finish], "NA")</f>
        <v>NA</v>
      </c>
    </row>
    <row r="1085" spans="1:6" x14ac:dyDescent="0.3">
      <c r="A1085" t="s">
        <v>152</v>
      </c>
      <c r="B1085" t="s">
        <v>787</v>
      </c>
      <c r="C1085">
        <v>6</v>
      </c>
      <c r="D1085">
        <v>2026</v>
      </c>
      <c r="E1085" t="str" cm="1">
        <f t="array" ref="E1085">_xlfn.XLOOKUP(Table2[[#This Row],[college]]&amp;Table2[[#This Row],[division]]&amp;Table2[[#This Row],[year]],
Teams[college]&amp;Teams[division]&amp;Teams[year],
Teams[placing], "NA")</f>
        <v>NA</v>
      </c>
      <c r="F1085" s="1" t="str" cm="1">
        <f t="array" ref="F1085">_xlfn.XLOOKUP(Table2[[#This Row],[college]]&amp;Table2[[#This Row],[division]]&amp;Table2[[#This Row],[year]],
Teams[college]&amp;Teams[division]&amp;Teams[year],
Teams[finish], "NA")</f>
        <v>NA</v>
      </c>
    </row>
    <row r="1086" spans="1:6" x14ac:dyDescent="0.3">
      <c r="A1086" t="s">
        <v>170</v>
      </c>
      <c r="B1086" t="s">
        <v>15</v>
      </c>
      <c r="C1086">
        <v>1</v>
      </c>
      <c r="D1086">
        <v>2023</v>
      </c>
      <c r="E1086" cm="1">
        <f t="array" ref="E1086">_xlfn.XLOOKUP(Table2[[#This Row],[college]]&amp;Table2[[#This Row],[division]]&amp;Table2[[#This Row],[year]],
Teams[college]&amp;Teams[division]&amp;Teams[year],
Teams[placing], "NA")</f>
        <v>1</v>
      </c>
      <c r="F1086" s="1" cm="1">
        <f t="array" ref="F1086">_xlfn.XLOOKUP(Table2[[#This Row],[college]]&amp;Table2[[#This Row],[division]]&amp;Table2[[#This Row],[year]],
Teams[college]&amp;Teams[division]&amp;Teams[year],
Teams[finish], "NA")</f>
        <v>0.52569444444444446</v>
      </c>
    </row>
    <row r="1087" spans="1:6" x14ac:dyDescent="0.3">
      <c r="A1087" t="s">
        <v>170</v>
      </c>
      <c r="B1087" t="s">
        <v>15</v>
      </c>
      <c r="C1087">
        <v>1</v>
      </c>
      <c r="D1087">
        <v>2024</v>
      </c>
      <c r="E1087" cm="1">
        <f t="array" ref="E1087">_xlfn.XLOOKUP(Table2[[#This Row],[college]]&amp;Table2[[#This Row],[division]]&amp;Table2[[#This Row],[year]],
Teams[college]&amp;Teams[division]&amp;Teams[year],
Teams[placing], "NA")</f>
        <v>2</v>
      </c>
      <c r="F1087" s="1" cm="1">
        <f t="array" ref="F1087">_xlfn.XLOOKUP(Table2[[#This Row],[college]]&amp;Table2[[#This Row],[division]]&amp;Table2[[#This Row],[year]],
Teams[college]&amp;Teams[division]&amp;Teams[year],
Teams[finish], "NA")</f>
        <v>0.52638888888888891</v>
      </c>
    </row>
    <row r="1088" spans="1:6" x14ac:dyDescent="0.3">
      <c r="A1088" t="s">
        <v>170</v>
      </c>
      <c r="B1088" t="s">
        <v>15</v>
      </c>
      <c r="C1088">
        <v>1</v>
      </c>
      <c r="D1088">
        <v>2025</v>
      </c>
      <c r="E1088" cm="1">
        <f t="array" ref="E1088">_xlfn.XLOOKUP(Table2[[#This Row],[college]]&amp;Table2[[#This Row],[division]]&amp;Table2[[#This Row],[year]],
Teams[college]&amp;Teams[division]&amp;Teams[year],
Teams[placing], "NA")</f>
        <v>2</v>
      </c>
      <c r="F1088" s="1" cm="1">
        <f t="array" ref="F1088">_xlfn.XLOOKUP(Table2[[#This Row],[college]]&amp;Table2[[#This Row],[division]]&amp;Table2[[#This Row],[year]],
Teams[college]&amp;Teams[division]&amp;Teams[year],
Teams[finish], "NA")</f>
        <v>0.53333333333333333</v>
      </c>
    </row>
    <row r="1089" spans="1:6" x14ac:dyDescent="0.3">
      <c r="A1089" t="s">
        <v>90</v>
      </c>
      <c r="B1089" t="s">
        <v>756</v>
      </c>
      <c r="C1089">
        <v>5</v>
      </c>
      <c r="D1089">
        <v>2025</v>
      </c>
      <c r="E1089" t="str" cm="1">
        <f t="array" ref="E1089">_xlfn.XLOOKUP(Table2[[#This Row],[college]]&amp;Table2[[#This Row],[division]]&amp;Table2[[#This Row],[year]],
Teams[college]&amp;Teams[division]&amp;Teams[year],
Teams[placing], "NA")</f>
        <v>NA</v>
      </c>
      <c r="F1089" s="1" cm="1">
        <f t="array" ref="F1089">_xlfn.XLOOKUP(Table2[[#This Row],[college]]&amp;Table2[[#This Row],[division]]&amp;Table2[[#This Row],[year]],
Teams[college]&amp;Teams[division]&amp;Teams[year],
Teams[finish], "NA")</f>
        <v>0.52708333333333335</v>
      </c>
    </row>
    <row r="1090" spans="1:6" x14ac:dyDescent="0.3">
      <c r="A1090" t="s">
        <v>90</v>
      </c>
      <c r="B1090" t="s">
        <v>755</v>
      </c>
      <c r="C1090">
        <v>5</v>
      </c>
      <c r="D1090">
        <v>2023</v>
      </c>
      <c r="E1090" t="str" cm="1">
        <f t="array" ref="E1090">_xlfn.XLOOKUP(Table2[[#This Row],[college]]&amp;Table2[[#This Row],[division]]&amp;Table2[[#This Row],[year]],
Teams[college]&amp;Teams[division]&amp;Teams[year],
Teams[placing], "NA")</f>
        <v>NA</v>
      </c>
      <c r="F1090" s="1" cm="1">
        <f t="array" ref="F1090">_xlfn.XLOOKUP(Table2[[#This Row],[college]]&amp;Table2[[#This Row],[division]]&amp;Table2[[#This Row],[year]],
Teams[college]&amp;Teams[division]&amp;Teams[year],
Teams[finish], "NA")</f>
        <v>0.63124999999999998</v>
      </c>
    </row>
    <row r="1091" spans="1:6" x14ac:dyDescent="0.3">
      <c r="A1091" t="s">
        <v>260</v>
      </c>
      <c r="B1091" t="s">
        <v>250</v>
      </c>
      <c r="C1091">
        <v>2</v>
      </c>
      <c r="D1091">
        <v>2025</v>
      </c>
      <c r="E1091" cm="1">
        <f t="array" ref="E1091">_xlfn.XLOOKUP(Table2[[#This Row],[college]]&amp;Table2[[#This Row],[division]]&amp;Table2[[#This Row],[year]],
Teams[college]&amp;Teams[division]&amp;Teams[year],
Teams[placing], "NA")</f>
        <v>3</v>
      </c>
      <c r="F1091" s="1" cm="1">
        <f t="array" ref="F1091">_xlfn.XLOOKUP(Table2[[#This Row],[college]]&amp;Table2[[#This Row],[division]]&amp;Table2[[#This Row],[year]],
Teams[college]&amp;Teams[division]&amp;Teams[year],
Teams[finish], "NA")</f>
        <v>0.5625</v>
      </c>
    </row>
    <row r="1092" spans="1:6" x14ac:dyDescent="0.3">
      <c r="A1092" t="s">
        <v>260</v>
      </c>
      <c r="B1092" t="s">
        <v>250</v>
      </c>
      <c r="C1092">
        <v>1</v>
      </c>
      <c r="D1092">
        <v>2026</v>
      </c>
      <c r="E1092" cm="1">
        <f t="array" ref="E1092">_xlfn.XLOOKUP(Table2[[#This Row],[college]]&amp;Table2[[#This Row],[division]]&amp;Table2[[#This Row],[year]],
Teams[college]&amp;Teams[division]&amp;Teams[year],
Teams[placing], "NA")</f>
        <v>0</v>
      </c>
      <c r="F1092" s="1" cm="1">
        <f t="array" ref="F1092">_xlfn.XLOOKUP(Table2[[#This Row],[college]]&amp;Table2[[#This Row],[division]]&amp;Table2[[#This Row],[year]],
Teams[college]&amp;Teams[division]&amp;Teams[year],
Teams[finish], "NA")</f>
        <v>0</v>
      </c>
    </row>
    <row r="1093" spans="1:6" x14ac:dyDescent="0.3">
      <c r="A1093" t="s">
        <v>291</v>
      </c>
      <c r="B1093" t="s">
        <v>250</v>
      </c>
      <c r="C1093">
        <v>5</v>
      </c>
      <c r="D1093">
        <v>2025</v>
      </c>
      <c r="E1093" cm="1">
        <f t="array" ref="E1093">_xlfn.XLOOKUP(Table2[[#This Row],[college]]&amp;Table2[[#This Row],[division]]&amp;Table2[[#This Row],[year]],
Teams[college]&amp;Teams[division]&amp;Teams[year],
Teams[placing], "NA")</f>
        <v>8</v>
      </c>
      <c r="F1093" s="1" cm="1">
        <f t="array" ref="F1093">_xlfn.XLOOKUP(Table2[[#This Row],[college]]&amp;Table2[[#This Row],[division]]&amp;Table2[[#This Row],[year]],
Teams[college]&amp;Teams[division]&amp;Teams[year],
Teams[finish], "NA")</f>
        <v>0.54652777777777772</v>
      </c>
    </row>
    <row r="1094" spans="1:6" x14ac:dyDescent="0.3">
      <c r="A1094" t="s">
        <v>732</v>
      </c>
      <c r="B1094" t="s">
        <v>15</v>
      </c>
      <c r="C1094">
        <v>6</v>
      </c>
      <c r="D1094">
        <v>2022</v>
      </c>
      <c r="E1094" cm="1">
        <f t="array" ref="E1094">_xlfn.XLOOKUP(Table2[[#This Row],[college]]&amp;Table2[[#This Row],[division]]&amp;Table2[[#This Row],[year]],
Teams[college]&amp;Teams[division]&amp;Teams[year],
Teams[placing], "NA")</f>
        <v>4</v>
      </c>
      <c r="F1094" s="1" cm="1">
        <f t="array" ref="F1094">_xlfn.XLOOKUP(Table2[[#This Row],[college]]&amp;Table2[[#This Row],[division]]&amp;Table2[[#This Row],[year]],
Teams[college]&amp;Teams[division]&amp;Teams[year],
Teams[finish], "NA")</f>
        <v>0.50069444444444444</v>
      </c>
    </row>
    <row r="1095" spans="1:6" x14ac:dyDescent="0.3">
      <c r="A1095" t="s">
        <v>325</v>
      </c>
      <c r="B1095" t="s">
        <v>250</v>
      </c>
      <c r="C1095">
        <v>7</v>
      </c>
      <c r="D1095">
        <v>2025</v>
      </c>
      <c r="E1095" cm="1">
        <f t="array" ref="E1095">_xlfn.XLOOKUP(Table2[[#This Row],[college]]&amp;Table2[[#This Row],[division]]&amp;Table2[[#This Row],[year]],
Teams[college]&amp;Teams[division]&amp;Teams[year],
Teams[placing], "NA")</f>
        <v>3</v>
      </c>
      <c r="F1095" s="1" cm="1">
        <f t="array" ref="F1095">_xlfn.XLOOKUP(Table2[[#This Row],[college]]&amp;Table2[[#This Row],[division]]&amp;Table2[[#This Row],[year]],
Teams[college]&amp;Teams[division]&amp;Teams[year],
Teams[finish], "NA")</f>
        <v>0.50208333333333333</v>
      </c>
    </row>
    <row r="1096" spans="1:6" x14ac:dyDescent="0.3">
      <c r="A1096" t="s">
        <v>635</v>
      </c>
      <c r="B1096" t="s">
        <v>132</v>
      </c>
      <c r="C1096">
        <v>3</v>
      </c>
      <c r="D1096">
        <v>2023</v>
      </c>
      <c r="E1096" t="str" cm="1">
        <f t="array" ref="E1096">_xlfn.XLOOKUP(Table2[[#This Row],[college]]&amp;Table2[[#This Row],[division]]&amp;Table2[[#This Row],[year]],
Teams[college]&amp;Teams[division]&amp;Teams[year],
Teams[placing], "NA")</f>
        <v>DNF</v>
      </c>
      <c r="F1096" s="1" t="str" cm="1">
        <f t="array" ref="F1096">_xlfn.XLOOKUP(Table2[[#This Row],[college]]&amp;Table2[[#This Row],[division]]&amp;Table2[[#This Row],[year]],
Teams[college]&amp;Teams[division]&amp;Teams[year],
Teams[finish], "NA")</f>
        <v>NA</v>
      </c>
    </row>
    <row r="1097" spans="1:6" x14ac:dyDescent="0.3">
      <c r="A1097" t="s">
        <v>715</v>
      </c>
      <c r="B1097" t="s">
        <v>137</v>
      </c>
      <c r="C1097">
        <v>3</v>
      </c>
      <c r="D1097">
        <v>2022</v>
      </c>
      <c r="E1097" t="str" cm="1">
        <f t="array" ref="E1097">_xlfn.XLOOKUP(Table2[[#This Row],[college]]&amp;Table2[[#This Row],[division]]&amp;Table2[[#This Row],[year]],
Teams[college]&amp;Teams[division]&amp;Teams[year],
Teams[placing], "NA")</f>
        <v>DNF</v>
      </c>
      <c r="F1097" s="1" t="str" cm="1">
        <f t="array" ref="F1097">_xlfn.XLOOKUP(Table2[[#This Row],[college]]&amp;Table2[[#This Row],[division]]&amp;Table2[[#This Row],[year]],
Teams[college]&amp;Teams[division]&amp;Teams[year],
Teams[finish], "NA")</f>
        <v>NA</v>
      </c>
    </row>
    <row r="1098" spans="1:6" x14ac:dyDescent="0.3">
      <c r="A1098" t="s">
        <v>242</v>
      </c>
      <c r="B1098" t="s">
        <v>241</v>
      </c>
      <c r="C1098">
        <v>4</v>
      </c>
      <c r="D1098">
        <v>2025</v>
      </c>
      <c r="E1098" cm="1">
        <f t="array" ref="E1098">_xlfn.XLOOKUP(Table2[[#This Row],[college]]&amp;Table2[[#This Row],[division]]&amp;Table2[[#This Row],[year]],
Teams[college]&amp;Teams[division]&amp;Teams[year],
Teams[placing], "NA")</f>
        <v>4</v>
      </c>
      <c r="F1098" s="1" cm="1">
        <f t="array" ref="F1098">_xlfn.XLOOKUP(Table2[[#This Row],[college]]&amp;Table2[[#This Row],[division]]&amp;Table2[[#This Row],[year]],
Teams[college]&amp;Teams[division]&amp;Teams[year],
Teams[finish], "NA")</f>
        <v>0.59652777777777777</v>
      </c>
    </row>
    <row r="1099" spans="1:6" x14ac:dyDescent="0.3">
      <c r="A1099" t="s">
        <v>242</v>
      </c>
      <c r="B1099" t="s">
        <v>241</v>
      </c>
      <c r="C1099">
        <v>4</v>
      </c>
      <c r="D1099">
        <v>2026</v>
      </c>
      <c r="E1099" cm="1">
        <f t="array" ref="E1099">_xlfn.XLOOKUP(Table2[[#This Row],[college]]&amp;Table2[[#This Row],[division]]&amp;Table2[[#This Row],[year]],
Teams[college]&amp;Teams[division]&amp;Teams[year],
Teams[placing], "NA")</f>
        <v>0</v>
      </c>
      <c r="F1099" s="1" cm="1">
        <f t="array" ref="F1099">_xlfn.XLOOKUP(Table2[[#This Row],[college]]&amp;Table2[[#This Row],[division]]&amp;Table2[[#This Row],[year]],
Teams[college]&amp;Teams[division]&amp;Teams[year],
Teams[finish], "NA")</f>
        <v>0</v>
      </c>
    </row>
    <row r="1100" spans="1:6" x14ac:dyDescent="0.3">
      <c r="A1100" t="s">
        <v>558</v>
      </c>
      <c r="B1100" t="s">
        <v>15</v>
      </c>
      <c r="C1100">
        <v>5</v>
      </c>
      <c r="D1100">
        <v>2023</v>
      </c>
      <c r="E1100" cm="1">
        <f t="array" ref="E1100">_xlfn.XLOOKUP(Table2[[#This Row],[college]]&amp;Table2[[#This Row],[division]]&amp;Table2[[#This Row],[year]],
Teams[college]&amp;Teams[division]&amp;Teams[year],
Teams[placing], "NA")</f>
        <v>2</v>
      </c>
      <c r="F1100" s="1" cm="1">
        <f t="array" ref="F1100">_xlfn.XLOOKUP(Table2[[#This Row],[college]]&amp;Table2[[#This Row],[division]]&amp;Table2[[#This Row],[year]],
Teams[college]&amp;Teams[division]&amp;Teams[year],
Teams[finish], "NA")</f>
        <v>0.5625</v>
      </c>
    </row>
    <row r="1101" spans="1:6" x14ac:dyDescent="0.3">
      <c r="A1101" t="s">
        <v>480</v>
      </c>
      <c r="B1101" t="s">
        <v>137</v>
      </c>
      <c r="C1101">
        <v>3</v>
      </c>
      <c r="D1101">
        <v>2025</v>
      </c>
      <c r="E1101" cm="1">
        <f t="array" ref="E1101">_xlfn.XLOOKUP(Table2[[#This Row],[college]]&amp;Table2[[#This Row],[division]]&amp;Table2[[#This Row],[year]],
Teams[college]&amp;Teams[division]&amp;Teams[year],
Teams[placing], "NA")</f>
        <v>1</v>
      </c>
      <c r="F1101" s="1" cm="1">
        <f t="array" ref="F1101">_xlfn.XLOOKUP(Table2[[#This Row],[college]]&amp;Table2[[#This Row],[division]]&amp;Table2[[#This Row],[year]],
Teams[college]&amp;Teams[division]&amp;Teams[year],
Teams[finish], "NA")</f>
        <v>0.50277777777777777</v>
      </c>
    </row>
    <row r="1102" spans="1:6" x14ac:dyDescent="0.3">
      <c r="A1102" t="s">
        <v>480</v>
      </c>
      <c r="B1102" t="s">
        <v>137</v>
      </c>
      <c r="C1102">
        <v>2</v>
      </c>
      <c r="D1102">
        <v>2023</v>
      </c>
      <c r="E1102" cm="1">
        <f t="array" ref="E1102">_xlfn.XLOOKUP(Table2[[#This Row],[college]]&amp;Table2[[#This Row],[division]]&amp;Table2[[#This Row],[year]],
Teams[college]&amp;Teams[division]&amp;Teams[year],
Teams[placing], "NA")</f>
        <v>5</v>
      </c>
      <c r="F1102" s="1" cm="1">
        <f t="array" ref="F1102">_xlfn.XLOOKUP(Table2[[#This Row],[college]]&amp;Table2[[#This Row],[division]]&amp;Table2[[#This Row],[year]],
Teams[college]&amp;Teams[division]&amp;Teams[year],
Teams[finish], "NA")</f>
        <v>0.59722222222222221</v>
      </c>
    </row>
    <row r="1103" spans="1:6" x14ac:dyDescent="0.3">
      <c r="A1103" t="s">
        <v>480</v>
      </c>
      <c r="B1103" t="s">
        <v>137</v>
      </c>
      <c r="C1103">
        <v>1</v>
      </c>
      <c r="D1103">
        <v>2024</v>
      </c>
      <c r="E1103" t="str" cm="1">
        <f t="array" ref="E1103">_xlfn.XLOOKUP(Table2[[#This Row],[college]]&amp;Table2[[#This Row],[division]]&amp;Table2[[#This Row],[year]],
Teams[college]&amp;Teams[division]&amp;Teams[year],
Teams[placing], "NA")</f>
        <v>DNF</v>
      </c>
      <c r="F1103" s="1" t="str" cm="1">
        <f t="array" ref="F1103">_xlfn.XLOOKUP(Table2[[#This Row],[college]]&amp;Table2[[#This Row],[division]]&amp;Table2[[#This Row],[year]],
Teams[college]&amp;Teams[division]&amp;Teams[year],
Teams[finish], "NA")</f>
        <v>NA</v>
      </c>
    </row>
    <row r="1104" spans="1:6" x14ac:dyDescent="0.3">
      <c r="A1104" t="s">
        <v>550</v>
      </c>
      <c r="B1104" t="s">
        <v>123</v>
      </c>
      <c r="C1104">
        <v>3</v>
      </c>
      <c r="D1104">
        <v>2023</v>
      </c>
      <c r="E1104" cm="1">
        <f t="array" ref="E1104">_xlfn.XLOOKUP(Table2[[#This Row],[college]]&amp;Table2[[#This Row],[division]]&amp;Table2[[#This Row],[year]],
Teams[college]&amp;Teams[division]&amp;Teams[year],
Teams[placing], "NA")</f>
        <v>1</v>
      </c>
      <c r="F1104" s="1" cm="1">
        <f t="array" ref="F1104">_xlfn.XLOOKUP(Table2[[#This Row],[college]]&amp;Table2[[#This Row],[division]]&amp;Table2[[#This Row],[year]],
Teams[college]&amp;Teams[division]&amp;Teams[year],
Teams[finish], "NA")</f>
        <v>0.52777777777777779</v>
      </c>
    </row>
    <row r="1105" spans="1:6" x14ac:dyDescent="0.3">
      <c r="A1105" t="s">
        <v>399</v>
      </c>
      <c r="B1105" t="s">
        <v>15</v>
      </c>
      <c r="C1105">
        <v>7</v>
      </c>
      <c r="D1105">
        <v>2024</v>
      </c>
      <c r="E1105" cm="1">
        <f t="array" ref="E1105">_xlfn.XLOOKUP(Table2[[#This Row],[college]]&amp;Table2[[#This Row],[division]]&amp;Table2[[#This Row],[year]],
Teams[college]&amp;Teams[division]&amp;Teams[year],
Teams[placing], "NA")</f>
        <v>1</v>
      </c>
      <c r="F1105" s="1" cm="1">
        <f t="array" ref="F1105">_xlfn.XLOOKUP(Table2[[#This Row],[college]]&amp;Table2[[#This Row],[division]]&amp;Table2[[#This Row],[year]],
Teams[college]&amp;Teams[division]&amp;Teams[year],
Teams[finish], "NA")</f>
        <v>0.56527777777777777</v>
      </c>
    </row>
    <row r="1106" spans="1:6" x14ac:dyDescent="0.3">
      <c r="A1106" t="s">
        <v>403</v>
      </c>
      <c r="B1106" t="s">
        <v>15</v>
      </c>
      <c r="C1106">
        <v>7</v>
      </c>
      <c r="D1106">
        <v>2023</v>
      </c>
      <c r="E1106" cm="1">
        <f t="array" ref="E1106">_xlfn.XLOOKUP(Table2[[#This Row],[college]]&amp;Table2[[#This Row],[division]]&amp;Table2[[#This Row],[year]],
Teams[college]&amp;Teams[division]&amp;Teams[year],
Teams[placing], "NA")</f>
        <v>1</v>
      </c>
      <c r="F1106" s="1" cm="1">
        <f t="array" ref="F1106">_xlfn.XLOOKUP(Table2[[#This Row],[college]]&amp;Table2[[#This Row],[division]]&amp;Table2[[#This Row],[year]],
Teams[college]&amp;Teams[division]&amp;Teams[year],
Teams[finish], "NA")</f>
        <v>0.50763888888888886</v>
      </c>
    </row>
    <row r="1107" spans="1:6" x14ac:dyDescent="0.3">
      <c r="A1107" t="s">
        <v>403</v>
      </c>
      <c r="B1107" t="s">
        <v>15</v>
      </c>
      <c r="C1107">
        <v>5</v>
      </c>
      <c r="D1107">
        <v>2024</v>
      </c>
      <c r="E1107" cm="1">
        <f t="array" ref="E1107">_xlfn.XLOOKUP(Table2[[#This Row],[college]]&amp;Table2[[#This Row],[division]]&amp;Table2[[#This Row],[year]],
Teams[college]&amp;Teams[division]&amp;Teams[year],
Teams[placing], "NA")</f>
        <v>6</v>
      </c>
      <c r="F1107" s="1" cm="1">
        <f t="array" ref="F1107">_xlfn.XLOOKUP(Table2[[#This Row],[college]]&amp;Table2[[#This Row],[division]]&amp;Table2[[#This Row],[year]],
Teams[college]&amp;Teams[division]&amp;Teams[year],
Teams[finish], "NA")</f>
        <v>0.62986111111111109</v>
      </c>
    </row>
    <row r="1108" spans="1:6" x14ac:dyDescent="0.3">
      <c r="A1108" t="s">
        <v>401</v>
      </c>
      <c r="B1108" t="s">
        <v>15</v>
      </c>
      <c r="C1108">
        <v>6</v>
      </c>
      <c r="D1108">
        <v>2022</v>
      </c>
      <c r="E1108" cm="1">
        <f t="array" ref="E1108">_xlfn.XLOOKUP(Table2[[#This Row],[college]]&amp;Table2[[#This Row],[division]]&amp;Table2[[#This Row],[year]],
Teams[college]&amp;Teams[division]&amp;Teams[year],
Teams[placing], "NA")</f>
        <v>4</v>
      </c>
      <c r="F1108" s="1" cm="1">
        <f t="array" ref="F1108">_xlfn.XLOOKUP(Table2[[#This Row],[college]]&amp;Table2[[#This Row],[division]]&amp;Table2[[#This Row],[year]],
Teams[college]&amp;Teams[division]&amp;Teams[year],
Teams[finish], "NA")</f>
        <v>0.50069444444444444</v>
      </c>
    </row>
    <row r="1109" spans="1:6" x14ac:dyDescent="0.3">
      <c r="A1109" t="s">
        <v>401</v>
      </c>
      <c r="B1109" t="s">
        <v>15</v>
      </c>
      <c r="C1109">
        <v>5</v>
      </c>
      <c r="D1109">
        <v>2023</v>
      </c>
      <c r="E1109" cm="1">
        <f t="array" ref="E1109">_xlfn.XLOOKUP(Table2[[#This Row],[college]]&amp;Table2[[#This Row],[division]]&amp;Table2[[#This Row],[year]],
Teams[college]&amp;Teams[division]&amp;Teams[year],
Teams[placing], "NA")</f>
        <v>2</v>
      </c>
      <c r="F1109" s="1" cm="1">
        <f t="array" ref="F1109">_xlfn.XLOOKUP(Table2[[#This Row],[college]]&amp;Table2[[#This Row],[division]]&amp;Table2[[#This Row],[year]],
Teams[college]&amp;Teams[division]&amp;Teams[year],
Teams[finish], "NA")</f>
        <v>0.5625</v>
      </c>
    </row>
    <row r="1110" spans="1:6" x14ac:dyDescent="0.3">
      <c r="A1110" t="s">
        <v>401</v>
      </c>
      <c r="B1110" t="s">
        <v>15</v>
      </c>
      <c r="C1110">
        <v>4</v>
      </c>
      <c r="D1110">
        <v>2024</v>
      </c>
      <c r="E1110" cm="1">
        <f t="array" ref="E1110">_xlfn.XLOOKUP(Table2[[#This Row],[college]]&amp;Table2[[#This Row],[division]]&amp;Table2[[#This Row],[year]],
Teams[college]&amp;Teams[division]&amp;Teams[year],
Teams[placing], "NA")</f>
        <v>7</v>
      </c>
      <c r="F1110" s="1" cm="1">
        <f t="array" ref="F1110">_xlfn.XLOOKUP(Table2[[#This Row],[college]]&amp;Table2[[#This Row],[division]]&amp;Table2[[#This Row],[year]],
Teams[college]&amp;Teams[division]&amp;Teams[year],
Teams[finish], "NA")</f>
        <v>0.69097222222222221</v>
      </c>
    </row>
    <row r="1111" spans="1:6" x14ac:dyDescent="0.3">
      <c r="A1111" t="s">
        <v>538</v>
      </c>
      <c r="B1111" t="s">
        <v>5</v>
      </c>
      <c r="C1111">
        <v>6</v>
      </c>
      <c r="D1111">
        <v>2022</v>
      </c>
      <c r="E1111" cm="1">
        <f t="array" ref="E1111">_xlfn.XLOOKUP(Table2[[#This Row],[college]]&amp;Table2[[#This Row],[division]]&amp;Table2[[#This Row],[year]],
Teams[college]&amp;Teams[division]&amp;Teams[year],
Teams[placing], "NA")</f>
        <v>6</v>
      </c>
      <c r="F1111" s="1" cm="1">
        <f t="array" ref="F1111">_xlfn.XLOOKUP(Table2[[#This Row],[college]]&amp;Table2[[#This Row],[division]]&amp;Table2[[#This Row],[year]],
Teams[college]&amp;Teams[division]&amp;Teams[year],
Teams[finish], "NA")</f>
        <v>0.64097222222222217</v>
      </c>
    </row>
    <row r="1112" spans="1:6" x14ac:dyDescent="0.3">
      <c r="A1112" t="s">
        <v>538</v>
      </c>
      <c r="B1112" t="s">
        <v>5</v>
      </c>
      <c r="C1112">
        <v>6</v>
      </c>
      <c r="D1112">
        <v>2023</v>
      </c>
      <c r="E1112" cm="1">
        <f t="array" ref="E1112">_xlfn.XLOOKUP(Table2[[#This Row],[college]]&amp;Table2[[#This Row],[division]]&amp;Table2[[#This Row],[year]],
Teams[college]&amp;Teams[division]&amp;Teams[year],
Teams[placing], "NA")</f>
        <v>8</v>
      </c>
      <c r="F1112" s="1" cm="1">
        <f t="array" ref="F1112">_xlfn.XLOOKUP(Table2[[#This Row],[college]]&amp;Table2[[#This Row],[division]]&amp;Table2[[#This Row],[year]],
Teams[college]&amp;Teams[division]&amp;Teams[year],
Teams[finish], "NA")</f>
        <v>0.67222222222222228</v>
      </c>
    </row>
    <row r="1113" spans="1:6" x14ac:dyDescent="0.3">
      <c r="A1113" t="s">
        <v>728</v>
      </c>
      <c r="B1113" t="s">
        <v>123</v>
      </c>
      <c r="C1113">
        <v>5</v>
      </c>
      <c r="D1113">
        <v>2025</v>
      </c>
      <c r="E1113" cm="1">
        <f t="array" ref="E1113">_xlfn.XLOOKUP(Table2[[#This Row],[college]]&amp;Table2[[#This Row],[division]]&amp;Table2[[#This Row],[year]],
Teams[college]&amp;Teams[division]&amp;Teams[year],
Teams[placing], "NA")</f>
        <v>3</v>
      </c>
      <c r="F1113" s="1" cm="1">
        <f t="array" ref="F1113">_xlfn.XLOOKUP(Table2[[#This Row],[college]]&amp;Table2[[#This Row],[division]]&amp;Table2[[#This Row],[year]],
Teams[college]&amp;Teams[division]&amp;Teams[year],
Teams[finish], "NA")</f>
        <v>0.44722222222222224</v>
      </c>
    </row>
    <row r="1114" spans="1:6" x14ac:dyDescent="0.3">
      <c r="A1114" t="s">
        <v>728</v>
      </c>
      <c r="B1114" t="s">
        <v>123</v>
      </c>
      <c r="C1114">
        <v>3</v>
      </c>
      <c r="D1114">
        <v>2022</v>
      </c>
      <c r="E1114" cm="1">
        <f t="array" ref="E1114">_xlfn.XLOOKUP(Table2[[#This Row],[college]]&amp;Table2[[#This Row],[division]]&amp;Table2[[#This Row],[year]],
Teams[college]&amp;Teams[division]&amp;Teams[year],
Teams[placing], "NA")</f>
        <v>5</v>
      </c>
      <c r="F1114" s="1" cm="1">
        <f t="array" ref="F1114">_xlfn.XLOOKUP(Table2[[#This Row],[college]]&amp;Table2[[#This Row],[division]]&amp;Table2[[#This Row],[year]],
Teams[college]&amp;Teams[division]&amp;Teams[year],
Teams[finish], "NA")</f>
        <v>0.61736111111111114</v>
      </c>
    </row>
    <row r="1115" spans="1:6" x14ac:dyDescent="0.3">
      <c r="A1115" t="s">
        <v>1006</v>
      </c>
      <c r="B1115" t="s">
        <v>15</v>
      </c>
      <c r="C1115">
        <v>7</v>
      </c>
      <c r="D1115">
        <v>2026</v>
      </c>
      <c r="E1115" cm="1">
        <f t="array" ref="E1115">_xlfn.XLOOKUP(Table2[[#This Row],[college]]&amp;Table2[[#This Row],[division]]&amp;Table2[[#This Row],[year]],
Teams[college]&amp;Teams[division]&amp;Teams[year],
Teams[placing], "NA")</f>
        <v>0</v>
      </c>
      <c r="F1115" s="1" cm="1">
        <f t="array" ref="F1115">_xlfn.XLOOKUP(Table2[[#This Row],[college]]&amp;Table2[[#This Row],[division]]&amp;Table2[[#This Row],[year]],
Teams[college]&amp;Teams[division]&amp;Teams[year],
Teams[finish], "NA")</f>
        <v>0</v>
      </c>
    </row>
    <row r="1116" spans="1:6" x14ac:dyDescent="0.3">
      <c r="A1116" t="s">
        <v>776</v>
      </c>
      <c r="B1116" t="s">
        <v>123</v>
      </c>
      <c r="C1116">
        <v>2</v>
      </c>
      <c r="D1116">
        <v>2026</v>
      </c>
      <c r="E1116" cm="1">
        <f t="array" ref="E1116">_xlfn.XLOOKUP(Table2[[#This Row],[college]]&amp;Table2[[#This Row],[division]]&amp;Table2[[#This Row],[year]],
Teams[college]&amp;Teams[division]&amp;Teams[year],
Teams[placing], "NA")</f>
        <v>0</v>
      </c>
      <c r="F1116" s="1" cm="1">
        <f t="array" ref="F1116">_xlfn.XLOOKUP(Table2[[#This Row],[college]]&amp;Table2[[#This Row],[division]]&amp;Table2[[#This Row],[year]],
Teams[college]&amp;Teams[division]&amp;Teams[year],
Teams[finish], "NA")</f>
        <v>0</v>
      </c>
    </row>
    <row r="1117" spans="1:6" x14ac:dyDescent="0.3">
      <c r="A1117" t="s">
        <v>578</v>
      </c>
      <c r="B1117" t="s">
        <v>132</v>
      </c>
      <c r="C1117">
        <v>5</v>
      </c>
      <c r="D1117">
        <v>2023</v>
      </c>
      <c r="E1117" t="str" cm="1">
        <f t="array" ref="E1117">_xlfn.XLOOKUP(Table2[[#This Row],[college]]&amp;Table2[[#This Row],[division]]&amp;Table2[[#This Row],[year]],
Teams[college]&amp;Teams[division]&amp;Teams[year],
Teams[placing], "NA")</f>
        <v>DNF</v>
      </c>
      <c r="F1117" s="1" t="str" cm="1">
        <f t="array" ref="F1117">_xlfn.XLOOKUP(Table2[[#This Row],[college]]&amp;Table2[[#This Row],[division]]&amp;Table2[[#This Row],[year]],
Teams[college]&amp;Teams[division]&amp;Teams[year],
Teams[finish], "NA")</f>
        <v>NA</v>
      </c>
    </row>
    <row r="1118" spans="1:6" x14ac:dyDescent="0.3">
      <c r="A1118" t="s">
        <v>479</v>
      </c>
      <c r="B1118" t="s">
        <v>48</v>
      </c>
      <c r="C1118">
        <v>6</v>
      </c>
      <c r="D1118">
        <v>2023</v>
      </c>
      <c r="E1118" cm="1">
        <f t="array" ref="E1118">_xlfn.XLOOKUP(Table2[[#This Row],[college]]&amp;Table2[[#This Row],[division]]&amp;Table2[[#This Row],[year]],
Teams[college]&amp;Teams[division]&amp;Teams[year],
Teams[placing], "NA")</f>
        <v>6</v>
      </c>
      <c r="F1118" s="1" cm="1">
        <f t="array" ref="F1118">_xlfn.XLOOKUP(Table2[[#This Row],[college]]&amp;Table2[[#This Row],[division]]&amp;Table2[[#This Row],[year]],
Teams[college]&amp;Teams[division]&amp;Teams[year],
Teams[finish], "NA")</f>
        <v>0.66874999999999996</v>
      </c>
    </row>
    <row r="1119" spans="1:6" x14ac:dyDescent="0.3">
      <c r="A1119" t="s">
        <v>479</v>
      </c>
      <c r="B1119" t="s">
        <v>48</v>
      </c>
      <c r="C1119">
        <v>6</v>
      </c>
      <c r="D1119">
        <v>2024</v>
      </c>
      <c r="E1119" t="str" cm="1">
        <f t="array" ref="E1119">_xlfn.XLOOKUP(Table2[[#This Row],[college]]&amp;Table2[[#This Row],[division]]&amp;Table2[[#This Row],[year]],
Teams[college]&amp;Teams[division]&amp;Teams[year],
Teams[placing], "NA")</f>
        <v>DNF</v>
      </c>
      <c r="F1119" s="1" t="str" cm="1">
        <f t="array" ref="F1119">_xlfn.XLOOKUP(Table2[[#This Row],[college]]&amp;Table2[[#This Row],[division]]&amp;Table2[[#This Row],[year]],
Teams[college]&amp;Teams[division]&amp;Teams[year],
Teams[finish], "NA")</f>
        <v>NA</v>
      </c>
    </row>
    <row r="1120" spans="1:6" x14ac:dyDescent="0.3">
      <c r="A1120" t="s">
        <v>479</v>
      </c>
      <c r="B1120" t="s">
        <v>48</v>
      </c>
      <c r="C1120">
        <v>7</v>
      </c>
      <c r="D1120">
        <v>2025</v>
      </c>
      <c r="E1120" cm="1">
        <f t="array" ref="E1120">_xlfn.XLOOKUP(Table2[[#This Row],[college]]&amp;Table2[[#This Row],[division]]&amp;Table2[[#This Row],[year]],
Teams[college]&amp;Teams[division]&amp;Teams[year],
Teams[placing], "NA")</f>
        <v>9</v>
      </c>
      <c r="F1120" s="1" cm="1">
        <f t="array" ref="F1120">_xlfn.XLOOKUP(Table2[[#This Row],[college]]&amp;Table2[[#This Row],[division]]&amp;Table2[[#This Row],[year]],
Teams[college]&amp;Teams[division]&amp;Teams[year],
Teams[finish], "NA")</f>
        <v>0.6118055555555556</v>
      </c>
    </row>
    <row r="1121" spans="1:6" x14ac:dyDescent="0.3">
      <c r="A1121" t="s">
        <v>522</v>
      </c>
      <c r="B1121" t="s">
        <v>5</v>
      </c>
      <c r="C1121">
        <v>7</v>
      </c>
      <c r="D1121">
        <v>2023</v>
      </c>
      <c r="E1121" cm="1">
        <f t="array" ref="E1121">_xlfn.XLOOKUP(Table2[[#This Row],[college]]&amp;Table2[[#This Row],[division]]&amp;Table2[[#This Row],[year]],
Teams[college]&amp;Teams[division]&amp;Teams[year],
Teams[placing], "NA")</f>
        <v>7</v>
      </c>
      <c r="F1121" s="1" cm="1">
        <f t="array" ref="F1121">_xlfn.XLOOKUP(Table2[[#This Row],[college]]&amp;Table2[[#This Row],[division]]&amp;Table2[[#This Row],[year]],
Teams[college]&amp;Teams[division]&amp;Teams[year],
Teams[finish], "NA")</f>
        <v>0.59097222222222223</v>
      </c>
    </row>
    <row r="1122" spans="1:6" x14ac:dyDescent="0.3">
      <c r="A1122" t="s">
        <v>522</v>
      </c>
      <c r="B1122" t="s">
        <v>5</v>
      </c>
      <c r="C1122">
        <v>5</v>
      </c>
      <c r="D1122">
        <v>2022</v>
      </c>
      <c r="E1122" cm="1">
        <f t="array" ref="E1122">_xlfn.XLOOKUP(Table2[[#This Row],[college]]&amp;Table2[[#This Row],[division]]&amp;Table2[[#This Row],[year]],
Teams[college]&amp;Teams[division]&amp;Teams[year],
Teams[placing], "NA")</f>
        <v>6</v>
      </c>
      <c r="F1122" s="1" cm="1">
        <f t="array" ref="F1122">_xlfn.XLOOKUP(Table2[[#This Row],[college]]&amp;Table2[[#This Row],[division]]&amp;Table2[[#This Row],[year]],
Teams[college]&amp;Teams[division]&amp;Teams[year],
Teams[finish], "NA")</f>
        <v>0.62152777777777779</v>
      </c>
    </row>
    <row r="1123" spans="1:6" x14ac:dyDescent="0.3">
      <c r="A1123" t="s">
        <v>542</v>
      </c>
      <c r="B1123" t="s">
        <v>19</v>
      </c>
      <c r="C1123">
        <v>3</v>
      </c>
      <c r="D1123">
        <v>2022</v>
      </c>
      <c r="E1123" cm="1">
        <f t="array" ref="E1123">_xlfn.XLOOKUP(Table2[[#This Row],[college]]&amp;Table2[[#This Row],[division]]&amp;Table2[[#This Row],[year]],
Teams[college]&amp;Teams[division]&amp;Teams[year],
Teams[placing], "NA")</f>
        <v>4</v>
      </c>
      <c r="F1123" s="1" cm="1">
        <f t="array" ref="F1123">_xlfn.XLOOKUP(Table2[[#This Row],[college]]&amp;Table2[[#This Row],[division]]&amp;Table2[[#This Row],[year]],
Teams[college]&amp;Teams[division]&amp;Teams[year],
Teams[finish], "NA")</f>
        <v>0.51180555555555562</v>
      </c>
    </row>
    <row r="1124" spans="1:6" x14ac:dyDescent="0.3">
      <c r="A1124" t="s">
        <v>542</v>
      </c>
      <c r="B1124" t="s">
        <v>19</v>
      </c>
      <c r="C1124">
        <v>6</v>
      </c>
      <c r="D1124">
        <v>2023</v>
      </c>
      <c r="E1124" cm="1">
        <f t="array" ref="E1124">_xlfn.XLOOKUP(Table2[[#This Row],[college]]&amp;Table2[[#This Row],[division]]&amp;Table2[[#This Row],[year]],
Teams[college]&amp;Teams[division]&amp;Teams[year],
Teams[placing], "NA")</f>
        <v>7</v>
      </c>
      <c r="F1124" s="1" cm="1">
        <f t="array" ref="F1124">_xlfn.XLOOKUP(Table2[[#This Row],[college]]&amp;Table2[[#This Row],[division]]&amp;Table2[[#This Row],[year]],
Teams[college]&amp;Teams[division]&amp;Teams[year],
Teams[finish], "NA")</f>
        <v>0.67152777777777772</v>
      </c>
    </row>
    <row r="1125" spans="1:6" x14ac:dyDescent="0.3">
      <c r="A1125" t="s">
        <v>313</v>
      </c>
      <c r="B1125" t="s">
        <v>759</v>
      </c>
      <c r="C1125">
        <v>6</v>
      </c>
      <c r="D1125">
        <v>2025</v>
      </c>
      <c r="E1125" t="str" cm="1">
        <f t="array" ref="E1125">_xlfn.XLOOKUP(Table2[[#This Row],[college]]&amp;Table2[[#This Row],[division]]&amp;Table2[[#This Row],[year]],
Teams[college]&amp;Teams[division]&amp;Teams[year],
Teams[placing], "NA")</f>
        <v>NA</v>
      </c>
      <c r="F1125" s="1" cm="1">
        <f t="array" ref="F1125">_xlfn.XLOOKUP(Table2[[#This Row],[college]]&amp;Table2[[#This Row],[division]]&amp;Table2[[#This Row],[year]],
Teams[college]&amp;Teams[division]&amp;Teams[year],
Teams[finish], "NA")</f>
        <v>0.68263888888888891</v>
      </c>
    </row>
    <row r="1126" spans="1:6" x14ac:dyDescent="0.3">
      <c r="A1126" t="s">
        <v>764</v>
      </c>
      <c r="B1126" t="s">
        <v>266</v>
      </c>
      <c r="C1126">
        <v>7</v>
      </c>
      <c r="D1126">
        <v>2024</v>
      </c>
      <c r="E1126" t="str" cm="1">
        <f t="array" ref="E1126">_xlfn.XLOOKUP(Table2[[#This Row],[college]]&amp;Table2[[#This Row],[division]]&amp;Table2[[#This Row],[year]],
Teams[college]&amp;Teams[division]&amp;Teams[year],
Teams[placing], "NA")</f>
        <v>DNF</v>
      </c>
      <c r="F1126" s="1" t="str" cm="1">
        <f t="array" ref="F1126">_xlfn.XLOOKUP(Table2[[#This Row],[college]]&amp;Table2[[#This Row],[division]]&amp;Table2[[#This Row],[year]],
Teams[college]&amp;Teams[division]&amp;Teams[year],
Teams[finish], "NA")</f>
        <v>NA</v>
      </c>
    </row>
    <row r="1127" spans="1:6" x14ac:dyDescent="0.3">
      <c r="A1127" t="s">
        <v>870</v>
      </c>
      <c r="B1127" t="s">
        <v>250</v>
      </c>
      <c r="C1127">
        <v>4</v>
      </c>
      <c r="D1127">
        <v>2026</v>
      </c>
      <c r="E1127" cm="1">
        <f t="array" ref="E1127">_xlfn.XLOOKUP(Table2[[#This Row],[college]]&amp;Table2[[#This Row],[division]]&amp;Table2[[#This Row],[year]],
Teams[college]&amp;Teams[division]&amp;Teams[year],
Teams[placing], "NA")</f>
        <v>0</v>
      </c>
      <c r="F1127" s="1" cm="1">
        <f t="array" ref="F1127">_xlfn.XLOOKUP(Table2[[#This Row],[college]]&amp;Table2[[#This Row],[division]]&amp;Table2[[#This Row],[year]],
Teams[college]&amp;Teams[division]&amp;Teams[year],
Teams[finish], "NA")</f>
        <v>0</v>
      </c>
    </row>
    <row r="1128" spans="1:6" x14ac:dyDescent="0.3">
      <c r="A1128" t="s">
        <v>117</v>
      </c>
      <c r="B1128" t="s">
        <v>19</v>
      </c>
      <c r="C1128">
        <v>7</v>
      </c>
      <c r="D1128">
        <v>2025</v>
      </c>
      <c r="E1128" cm="1">
        <f t="array" ref="E1128">_xlfn.XLOOKUP(Table2[[#This Row],[college]]&amp;Table2[[#This Row],[division]]&amp;Table2[[#This Row],[year]],
Teams[college]&amp;Teams[division]&amp;Teams[year],
Teams[placing], "NA")</f>
        <v>4</v>
      </c>
      <c r="F1128" s="1" cm="1">
        <f t="array" ref="F1128">_xlfn.XLOOKUP(Table2[[#This Row],[college]]&amp;Table2[[#This Row],[division]]&amp;Table2[[#This Row],[year]],
Teams[college]&amp;Teams[division]&amp;Teams[year],
Teams[finish], "NA")</f>
        <v>0.50555555555555554</v>
      </c>
    </row>
    <row r="1129" spans="1:6" x14ac:dyDescent="0.3">
      <c r="A1129" t="s">
        <v>923</v>
      </c>
      <c r="B1129" t="s">
        <v>10</v>
      </c>
      <c r="C1129">
        <v>6</v>
      </c>
      <c r="D1129">
        <v>2026</v>
      </c>
      <c r="E1129" cm="1">
        <f t="array" ref="E1129">_xlfn.XLOOKUP(Table2[[#This Row],[college]]&amp;Table2[[#This Row],[division]]&amp;Table2[[#This Row],[year]],
Teams[college]&amp;Teams[division]&amp;Teams[year],
Teams[placing], "NA")</f>
        <v>0</v>
      </c>
      <c r="F1129" s="1" cm="1">
        <f t="array" ref="F1129">_xlfn.XLOOKUP(Table2[[#This Row],[college]]&amp;Table2[[#This Row],[division]]&amp;Table2[[#This Row],[year]],
Teams[college]&amp;Teams[division]&amp;Teams[year],
Teams[finish], "NA")</f>
        <v>0</v>
      </c>
    </row>
    <row r="1130" spans="1:6" x14ac:dyDescent="0.3">
      <c r="A1130" t="s">
        <v>264</v>
      </c>
      <c r="B1130" t="s">
        <v>10</v>
      </c>
      <c r="C1130">
        <v>6</v>
      </c>
      <c r="D1130">
        <v>2025</v>
      </c>
      <c r="E1130" cm="1">
        <f t="array" ref="E1130">_xlfn.XLOOKUP(Table2[[#This Row],[college]]&amp;Table2[[#This Row],[division]]&amp;Table2[[#This Row],[year]],
Teams[college]&amp;Teams[division]&amp;Teams[year],
Teams[placing], "NA")</f>
        <v>3</v>
      </c>
      <c r="F1130" s="1" cm="1">
        <f t="array" ref="F1130">_xlfn.XLOOKUP(Table2[[#This Row],[college]]&amp;Table2[[#This Row],[division]]&amp;Table2[[#This Row],[year]],
Teams[college]&amp;Teams[division]&amp;Teams[year],
Teams[finish], "NA")</f>
        <v>0.51597222222222228</v>
      </c>
    </row>
    <row r="1131" spans="1:6" x14ac:dyDescent="0.3">
      <c r="A1131" t="s">
        <v>976</v>
      </c>
      <c r="B1131" t="s">
        <v>766</v>
      </c>
      <c r="C1131">
        <v>7</v>
      </c>
      <c r="D1131">
        <v>2026</v>
      </c>
      <c r="E1131" cm="1">
        <f t="array" ref="E1131">_xlfn.XLOOKUP(Table2[[#This Row],[college]]&amp;Table2[[#This Row],[division]]&amp;Table2[[#This Row],[year]],
Teams[college]&amp;Teams[division]&amp;Teams[year],
Teams[placing], "NA")</f>
        <v>0</v>
      </c>
      <c r="F1131" s="1" cm="1">
        <f t="array" ref="F1131">_xlfn.XLOOKUP(Table2[[#This Row],[college]]&amp;Table2[[#This Row],[division]]&amp;Table2[[#This Row],[year]],
Teams[college]&amp;Teams[division]&amp;Teams[year],
Teams[finish], "NA")</f>
        <v>0</v>
      </c>
    </row>
    <row r="1132" spans="1:6" x14ac:dyDescent="0.3">
      <c r="A1132" t="s">
        <v>158</v>
      </c>
      <c r="B1132" t="s">
        <v>137</v>
      </c>
      <c r="C1132">
        <v>2</v>
      </c>
      <c r="D1132">
        <v>2025</v>
      </c>
      <c r="E1132" cm="1">
        <f t="array" ref="E1132">_xlfn.XLOOKUP(Table2[[#This Row],[college]]&amp;Table2[[#This Row],[division]]&amp;Table2[[#This Row],[year]],
Teams[college]&amp;Teams[division]&amp;Teams[year],
Teams[placing], "NA")</f>
        <v>6</v>
      </c>
      <c r="F1132" s="1" cm="1">
        <f t="array" ref="F1132">_xlfn.XLOOKUP(Table2[[#This Row],[college]]&amp;Table2[[#This Row],[division]]&amp;Table2[[#This Row],[year]],
Teams[college]&amp;Teams[division]&amp;Teams[year],
Teams[finish], "NA")</f>
        <v>0.65555555555555556</v>
      </c>
    </row>
    <row r="1133" spans="1:6" x14ac:dyDescent="0.3">
      <c r="A1133" t="s">
        <v>771</v>
      </c>
      <c r="B1133" t="s">
        <v>123</v>
      </c>
      <c r="C1133">
        <v>3</v>
      </c>
      <c r="D1133">
        <v>2026</v>
      </c>
      <c r="E1133" cm="1">
        <f t="array" ref="E1133">_xlfn.XLOOKUP(Table2[[#This Row],[college]]&amp;Table2[[#This Row],[division]]&amp;Table2[[#This Row],[year]],
Teams[college]&amp;Teams[division]&amp;Teams[year],
Teams[placing], "NA")</f>
        <v>0</v>
      </c>
      <c r="F1133" s="1" cm="1">
        <f t="array" ref="F1133">_xlfn.XLOOKUP(Table2[[#This Row],[college]]&amp;Table2[[#This Row],[division]]&amp;Table2[[#This Row],[year]],
Teams[college]&amp;Teams[division]&amp;Teams[year],
Teams[finish], "NA")</f>
        <v>0</v>
      </c>
    </row>
    <row r="1134" spans="1:6" x14ac:dyDescent="0.3">
      <c r="A1134" t="s">
        <v>474</v>
      </c>
      <c r="B1134" t="s">
        <v>757</v>
      </c>
      <c r="C1134">
        <v>5</v>
      </c>
      <c r="D1134">
        <v>2024</v>
      </c>
      <c r="E1134" t="str" cm="1">
        <f t="array" ref="E1134">_xlfn.XLOOKUP(Table2[[#This Row],[college]]&amp;Table2[[#This Row],[division]]&amp;Table2[[#This Row],[year]],
Teams[college]&amp;Teams[division]&amp;Teams[year],
Teams[placing], "NA")</f>
        <v>NA</v>
      </c>
      <c r="F1134" s="1" cm="1">
        <f t="array" ref="F1134">_xlfn.XLOOKUP(Table2[[#This Row],[college]]&amp;Table2[[#This Row],[division]]&amp;Table2[[#This Row],[year]],
Teams[college]&amp;Teams[division]&amp;Teams[year],
Teams[finish], "NA")</f>
        <v>0.67708333333333337</v>
      </c>
    </row>
    <row r="1135" spans="1:6" x14ac:dyDescent="0.3">
      <c r="A1135" t="s">
        <v>726</v>
      </c>
      <c r="B1135" t="s">
        <v>266</v>
      </c>
      <c r="C1135">
        <v>4</v>
      </c>
      <c r="D1135">
        <v>2022</v>
      </c>
      <c r="E1135" cm="1">
        <f t="array" ref="E1135">_xlfn.XLOOKUP(Table2[[#This Row],[college]]&amp;Table2[[#This Row],[division]]&amp;Table2[[#This Row],[year]],
Teams[college]&amp;Teams[division]&amp;Teams[year],
Teams[placing], "NA")</f>
        <v>3</v>
      </c>
      <c r="F1135" s="1" cm="1">
        <f t="array" ref="F1135">_xlfn.XLOOKUP(Table2[[#This Row],[college]]&amp;Table2[[#This Row],[division]]&amp;Table2[[#This Row],[year]],
Teams[college]&amp;Teams[division]&amp;Teams[year],
Teams[finish], "NA")</f>
        <v>0.44791666666666669</v>
      </c>
    </row>
    <row r="1136" spans="1:6" x14ac:dyDescent="0.3">
      <c r="A1136" t="s">
        <v>603</v>
      </c>
      <c r="B1136" t="s">
        <v>266</v>
      </c>
      <c r="C1136">
        <v>5</v>
      </c>
      <c r="D1136">
        <v>2023</v>
      </c>
      <c r="E1136" cm="1">
        <f t="array" ref="E1136">_xlfn.XLOOKUP(Table2[[#This Row],[college]]&amp;Table2[[#This Row],[division]]&amp;Table2[[#This Row],[year]],
Teams[college]&amp;Teams[division]&amp;Teams[year],
Teams[placing], "NA")</f>
        <v>4</v>
      </c>
      <c r="F1136" s="1" cm="1">
        <f t="array" ref="F1136">_xlfn.XLOOKUP(Table2[[#This Row],[college]]&amp;Table2[[#This Row],[division]]&amp;Table2[[#This Row],[year]],
Teams[college]&amp;Teams[division]&amp;Teams[year],
Teams[finish], "NA")</f>
        <v>0.62083333333333335</v>
      </c>
    </row>
    <row r="1137" spans="1:6" x14ac:dyDescent="0.3">
      <c r="A1137" t="s">
        <v>341</v>
      </c>
      <c r="B1137" t="s">
        <v>19</v>
      </c>
      <c r="C1137">
        <v>5</v>
      </c>
      <c r="D1137">
        <v>2024</v>
      </c>
      <c r="E1137" cm="1">
        <f t="array" ref="E1137">_xlfn.XLOOKUP(Table2[[#This Row],[college]]&amp;Table2[[#This Row],[division]]&amp;Table2[[#This Row],[year]],
Teams[college]&amp;Teams[division]&amp;Teams[year],
Teams[placing], "NA")</f>
        <v>8</v>
      </c>
      <c r="F1137" s="1" cm="1">
        <f t="array" ref="F1137">_xlfn.XLOOKUP(Table2[[#This Row],[college]]&amp;Table2[[#This Row],[division]]&amp;Table2[[#This Row],[year]],
Teams[college]&amp;Teams[division]&amp;Teams[year],
Teams[finish], "NA")</f>
        <v>0.64513888888888893</v>
      </c>
    </row>
    <row r="1138" spans="1:6" x14ac:dyDescent="0.3">
      <c r="A1138" t="s">
        <v>783</v>
      </c>
      <c r="B1138" t="s">
        <v>123</v>
      </c>
      <c r="C1138">
        <v>5</v>
      </c>
      <c r="D1138">
        <v>2026</v>
      </c>
      <c r="E1138" cm="1">
        <f t="array" ref="E1138">_xlfn.XLOOKUP(Table2[[#This Row],[college]]&amp;Table2[[#This Row],[division]]&amp;Table2[[#This Row],[year]],
Teams[college]&amp;Teams[division]&amp;Teams[year],
Teams[placing], "NA")</f>
        <v>0</v>
      </c>
      <c r="F1138" s="1" cm="1">
        <f t="array" ref="F1138">_xlfn.XLOOKUP(Table2[[#This Row],[college]]&amp;Table2[[#This Row],[division]]&amp;Table2[[#This Row],[year]],
Teams[college]&amp;Teams[division]&amp;Teams[year],
Teams[finish], "NA")</f>
        <v>0</v>
      </c>
    </row>
    <row r="1139" spans="1:6" x14ac:dyDescent="0.3">
      <c r="A1139" t="s">
        <v>548</v>
      </c>
      <c r="B1139" t="s">
        <v>15</v>
      </c>
      <c r="C1139">
        <v>3</v>
      </c>
      <c r="D1139">
        <v>2023</v>
      </c>
      <c r="E1139" t="str" cm="1">
        <f t="array" ref="E1139">_xlfn.XLOOKUP(Table2[[#This Row],[college]]&amp;Table2[[#This Row],[division]]&amp;Table2[[#This Row],[year]],
Teams[college]&amp;Teams[division]&amp;Teams[year],
Teams[placing], "NA")</f>
        <v>DNF</v>
      </c>
      <c r="F1139" s="1" t="str" cm="1">
        <f t="array" ref="F1139">_xlfn.XLOOKUP(Table2[[#This Row],[college]]&amp;Table2[[#This Row],[division]]&amp;Table2[[#This Row],[year]],
Teams[college]&amp;Teams[division]&amp;Teams[year],
Teams[finish], "NA")</f>
        <v>NA</v>
      </c>
    </row>
    <row r="1140" spans="1:6" x14ac:dyDescent="0.3">
      <c r="A1140" t="s">
        <v>663</v>
      </c>
      <c r="B1140" t="s">
        <v>137</v>
      </c>
      <c r="C1140">
        <v>7</v>
      </c>
      <c r="D1140">
        <v>2022</v>
      </c>
      <c r="E1140" cm="1">
        <f t="array" ref="E1140">_xlfn.XLOOKUP(Table2[[#This Row],[college]]&amp;Table2[[#This Row],[division]]&amp;Table2[[#This Row],[year]],
Teams[college]&amp;Teams[division]&amp;Teams[year],
Teams[placing], "NA")</f>
        <v>1</v>
      </c>
      <c r="F1140" s="1" cm="1">
        <f t="array" ref="F1140">_xlfn.XLOOKUP(Table2[[#This Row],[college]]&amp;Table2[[#This Row],[division]]&amp;Table2[[#This Row],[year]],
Teams[college]&amp;Teams[division]&amp;Teams[year],
Teams[finish], "NA")</f>
        <v>0.44166666666666665</v>
      </c>
    </row>
    <row r="1141" spans="1:6" x14ac:dyDescent="0.3">
      <c r="A1141" t="s">
        <v>191</v>
      </c>
      <c r="B1141" t="s">
        <v>132</v>
      </c>
      <c r="C1141">
        <v>7</v>
      </c>
      <c r="D1141">
        <v>2025</v>
      </c>
      <c r="E1141" cm="1">
        <f t="array" ref="E1141">_xlfn.XLOOKUP(Table2[[#This Row],[college]]&amp;Table2[[#This Row],[division]]&amp;Table2[[#This Row],[year]],
Teams[college]&amp;Teams[division]&amp;Teams[year],
Teams[placing], "NA")</f>
        <v>2</v>
      </c>
      <c r="F1141" s="1" cm="1">
        <f t="array" ref="F1141">_xlfn.XLOOKUP(Table2[[#This Row],[college]]&amp;Table2[[#This Row],[division]]&amp;Table2[[#This Row],[year]],
Teams[college]&amp;Teams[division]&amp;Teams[year],
Teams[finish], "NA")</f>
        <v>0.48402777777777778</v>
      </c>
    </row>
    <row r="1142" spans="1:6" x14ac:dyDescent="0.3">
      <c r="A1142" t="s">
        <v>191</v>
      </c>
      <c r="B1142" t="s">
        <v>132</v>
      </c>
      <c r="C1142">
        <v>6</v>
      </c>
      <c r="D1142">
        <v>2024</v>
      </c>
      <c r="E1142" cm="1">
        <f t="array" ref="E1142">_xlfn.XLOOKUP(Table2[[#This Row],[college]]&amp;Table2[[#This Row],[division]]&amp;Table2[[#This Row],[year]],
Teams[college]&amp;Teams[division]&amp;Teams[year],
Teams[placing], "NA")</f>
        <v>4</v>
      </c>
      <c r="F1142" s="1" cm="1">
        <f t="array" ref="F1142">_xlfn.XLOOKUP(Table2[[#This Row],[college]]&amp;Table2[[#This Row],[division]]&amp;Table2[[#This Row],[year]],
Teams[college]&amp;Teams[division]&amp;Teams[year],
Teams[finish], "NA")</f>
        <v>0.63472222222222219</v>
      </c>
    </row>
    <row r="1143" spans="1:6" x14ac:dyDescent="0.3">
      <c r="A1143" t="s">
        <v>601</v>
      </c>
      <c r="B1143" t="s">
        <v>266</v>
      </c>
      <c r="C1143">
        <v>5</v>
      </c>
      <c r="D1143">
        <v>2023</v>
      </c>
      <c r="E1143" cm="1">
        <f t="array" ref="E1143">_xlfn.XLOOKUP(Table2[[#This Row],[college]]&amp;Table2[[#This Row],[division]]&amp;Table2[[#This Row],[year]],
Teams[college]&amp;Teams[division]&amp;Teams[year],
Teams[placing], "NA")</f>
        <v>4</v>
      </c>
      <c r="F1143" s="1" cm="1">
        <f t="array" ref="F1143">_xlfn.XLOOKUP(Table2[[#This Row],[college]]&amp;Table2[[#This Row],[division]]&amp;Table2[[#This Row],[year]],
Teams[college]&amp;Teams[division]&amp;Teams[year],
Teams[finish], "NA")</f>
        <v>0.62083333333333335</v>
      </c>
    </row>
    <row r="1144" spans="1:6" x14ac:dyDescent="0.3">
      <c r="A1144" t="s">
        <v>601</v>
      </c>
      <c r="B1144" t="s">
        <v>266</v>
      </c>
      <c r="C1144">
        <v>5</v>
      </c>
      <c r="D1144">
        <v>2022</v>
      </c>
      <c r="E1144" cm="1">
        <f t="array" ref="E1144">_xlfn.XLOOKUP(Table2[[#This Row],[college]]&amp;Table2[[#This Row],[division]]&amp;Table2[[#This Row],[year]],
Teams[college]&amp;Teams[division]&amp;Teams[year],
Teams[placing], "NA")</f>
        <v>8</v>
      </c>
      <c r="F1144" s="1" cm="1">
        <f t="array" ref="F1144">_xlfn.XLOOKUP(Table2[[#This Row],[college]]&amp;Table2[[#This Row],[division]]&amp;Table2[[#This Row],[year]],
Teams[college]&amp;Teams[division]&amp;Teams[year],
Teams[finish], "NA")</f>
        <v>0.6381944444444444</v>
      </c>
    </row>
    <row r="1145" spans="1:6" x14ac:dyDescent="0.3">
      <c r="A1145" t="s">
        <v>583</v>
      </c>
      <c r="B1145" t="s">
        <v>250</v>
      </c>
      <c r="C1145">
        <v>4</v>
      </c>
      <c r="D1145">
        <v>2023</v>
      </c>
      <c r="E1145" t="str" cm="1">
        <f t="array" ref="E1145">_xlfn.XLOOKUP(Table2[[#This Row],[college]]&amp;Table2[[#This Row],[division]]&amp;Table2[[#This Row],[year]],
Teams[college]&amp;Teams[division]&amp;Teams[year],
Teams[placing], "NA")</f>
        <v>DNF</v>
      </c>
      <c r="F1145" s="1" t="str" cm="1">
        <f t="array" ref="F1145">_xlfn.XLOOKUP(Table2[[#This Row],[college]]&amp;Table2[[#This Row],[division]]&amp;Table2[[#This Row],[year]],
Teams[college]&amp;Teams[division]&amp;Teams[year],
Teams[finish], "NA")</f>
        <v>NA</v>
      </c>
    </row>
    <row r="1146" spans="1:6" x14ac:dyDescent="0.3">
      <c r="A1146" t="s">
        <v>812</v>
      </c>
      <c r="B1146" t="s">
        <v>10</v>
      </c>
      <c r="C1146">
        <v>2</v>
      </c>
      <c r="D1146">
        <v>2026</v>
      </c>
      <c r="E1146" cm="1">
        <f t="array" ref="E1146">_xlfn.XLOOKUP(Table2[[#This Row],[college]]&amp;Table2[[#This Row],[division]]&amp;Table2[[#This Row],[year]],
Teams[college]&amp;Teams[division]&amp;Teams[year],
Teams[placing], "NA")</f>
        <v>0</v>
      </c>
      <c r="F1146" s="1" cm="1">
        <f t="array" ref="F1146">_xlfn.XLOOKUP(Table2[[#This Row],[college]]&amp;Table2[[#This Row],[division]]&amp;Table2[[#This Row],[year]],
Teams[college]&amp;Teams[division]&amp;Teams[year],
Teams[finish], "NA")</f>
        <v>0</v>
      </c>
    </row>
    <row r="1147" spans="1:6" x14ac:dyDescent="0.3">
      <c r="A1147" t="s">
        <v>445</v>
      </c>
      <c r="B1147" t="s">
        <v>10</v>
      </c>
      <c r="C1147">
        <v>5</v>
      </c>
      <c r="D1147">
        <v>2024</v>
      </c>
      <c r="E1147" cm="1">
        <f t="array" ref="E1147">_xlfn.XLOOKUP(Table2[[#This Row],[college]]&amp;Table2[[#This Row],[division]]&amp;Table2[[#This Row],[year]],
Teams[college]&amp;Teams[division]&amp;Teams[year],
Teams[placing], "NA")</f>
        <v>5</v>
      </c>
      <c r="F1147" s="1" cm="1">
        <f t="array" ref="F1147">_xlfn.XLOOKUP(Table2[[#This Row],[college]]&amp;Table2[[#This Row],[division]]&amp;Table2[[#This Row],[year]],
Teams[college]&amp;Teams[division]&amp;Teams[year],
Teams[finish], "NA")</f>
        <v>0.61805555555555558</v>
      </c>
    </row>
    <row r="1148" spans="1:6" x14ac:dyDescent="0.3">
      <c r="A1148" t="s">
        <v>14</v>
      </c>
      <c r="B1148" t="s">
        <v>15</v>
      </c>
      <c r="C1148">
        <v>6</v>
      </c>
      <c r="D1148">
        <v>2025</v>
      </c>
      <c r="E1148" t="str" cm="1">
        <f t="array" ref="E1148">_xlfn.XLOOKUP(Table2[[#This Row],[college]]&amp;Table2[[#This Row],[division]]&amp;Table2[[#This Row],[year]],
Teams[college]&amp;Teams[division]&amp;Teams[year],
Teams[placing], "NA")</f>
        <v>DNF</v>
      </c>
      <c r="F1148" s="1" t="str" cm="1">
        <f t="array" ref="F1148">_xlfn.XLOOKUP(Table2[[#This Row],[college]]&amp;Table2[[#This Row],[division]]&amp;Table2[[#This Row],[year]],
Teams[college]&amp;Teams[division]&amp;Teams[year],
Teams[finish], "NA")</f>
        <v>NA</v>
      </c>
    </row>
    <row r="1149" spans="1:6" x14ac:dyDescent="0.3">
      <c r="A1149" t="s">
        <v>557</v>
      </c>
      <c r="B1149" t="s">
        <v>15</v>
      </c>
      <c r="C1149">
        <v>6</v>
      </c>
      <c r="D1149">
        <v>2022</v>
      </c>
      <c r="E1149" cm="1">
        <f t="array" ref="E1149">_xlfn.XLOOKUP(Table2[[#This Row],[college]]&amp;Table2[[#This Row],[division]]&amp;Table2[[#This Row],[year]],
Teams[college]&amp;Teams[division]&amp;Teams[year],
Teams[placing], "NA")</f>
        <v>4</v>
      </c>
      <c r="F1149" s="1" cm="1">
        <f t="array" ref="F1149">_xlfn.XLOOKUP(Table2[[#This Row],[college]]&amp;Table2[[#This Row],[division]]&amp;Table2[[#This Row],[year]],
Teams[college]&amp;Teams[division]&amp;Teams[year],
Teams[finish], "NA")</f>
        <v>0.50069444444444444</v>
      </c>
    </row>
    <row r="1150" spans="1:6" x14ac:dyDescent="0.3">
      <c r="A1150" t="s">
        <v>557</v>
      </c>
      <c r="B1150" t="s">
        <v>15</v>
      </c>
      <c r="C1150">
        <v>5</v>
      </c>
      <c r="D1150">
        <v>2023</v>
      </c>
      <c r="E1150" cm="1">
        <f t="array" ref="E1150">_xlfn.XLOOKUP(Table2[[#This Row],[college]]&amp;Table2[[#This Row],[division]]&amp;Table2[[#This Row],[year]],
Teams[college]&amp;Teams[division]&amp;Teams[year],
Teams[placing], "NA")</f>
        <v>2</v>
      </c>
      <c r="F1150" s="1" cm="1">
        <f t="array" ref="F1150">_xlfn.XLOOKUP(Table2[[#This Row],[college]]&amp;Table2[[#This Row],[division]]&amp;Table2[[#This Row],[year]],
Teams[college]&amp;Teams[division]&amp;Teams[year],
Teams[finish], "NA")</f>
        <v>0.5625</v>
      </c>
    </row>
    <row r="1151" spans="1:6" x14ac:dyDescent="0.3">
      <c r="A1151" t="s">
        <v>43</v>
      </c>
      <c r="B1151" t="s">
        <v>15</v>
      </c>
      <c r="C1151">
        <v>5</v>
      </c>
      <c r="D1151">
        <v>2025</v>
      </c>
      <c r="E1151" cm="1">
        <f t="array" ref="E1151">_xlfn.XLOOKUP(Table2[[#This Row],[college]]&amp;Table2[[#This Row],[division]]&amp;Table2[[#This Row],[year]],
Teams[college]&amp;Teams[division]&amp;Teams[year],
Teams[placing], "NA")</f>
        <v>6</v>
      </c>
      <c r="F1151" s="1" cm="1">
        <f t="array" ref="F1151">_xlfn.XLOOKUP(Table2[[#This Row],[college]]&amp;Table2[[#This Row],[division]]&amp;Table2[[#This Row],[year]],
Teams[college]&amp;Teams[division]&amp;Teams[year],
Teams[finish], "NA")</f>
        <v>0.49652777777777779</v>
      </c>
    </row>
    <row r="1152" spans="1:6" x14ac:dyDescent="0.3">
      <c r="A1152" t="s">
        <v>983</v>
      </c>
      <c r="B1152" t="s">
        <v>266</v>
      </c>
      <c r="C1152">
        <v>7</v>
      </c>
      <c r="D1152">
        <v>2026</v>
      </c>
      <c r="E1152" cm="1">
        <f t="array" ref="E1152">_xlfn.XLOOKUP(Table2[[#This Row],[college]]&amp;Table2[[#This Row],[division]]&amp;Table2[[#This Row],[year]],
Teams[college]&amp;Teams[division]&amp;Teams[year],
Teams[placing], "NA")</f>
        <v>0</v>
      </c>
      <c r="F1152" s="1" cm="1">
        <f t="array" ref="F1152">_xlfn.XLOOKUP(Table2[[#This Row],[college]]&amp;Table2[[#This Row],[division]]&amp;Table2[[#This Row],[year]],
Teams[college]&amp;Teams[division]&amp;Teams[year],
Teams[finish], "NA")</f>
        <v>0</v>
      </c>
    </row>
    <row r="1153" spans="1:6" x14ac:dyDescent="0.3">
      <c r="A1153" t="s">
        <v>370</v>
      </c>
      <c r="B1153" t="s">
        <v>19</v>
      </c>
      <c r="C1153">
        <v>7</v>
      </c>
      <c r="D1153">
        <v>2023</v>
      </c>
      <c r="E1153" cm="1">
        <f t="array" ref="E1153">_xlfn.XLOOKUP(Table2[[#This Row],[college]]&amp;Table2[[#This Row],[division]]&amp;Table2[[#This Row],[year]],
Teams[college]&amp;Teams[division]&amp;Teams[year],
Teams[placing], "NA")</f>
        <v>9</v>
      </c>
      <c r="F1153" s="1" cm="1">
        <f t="array" ref="F1153">_xlfn.XLOOKUP(Table2[[#This Row],[college]]&amp;Table2[[#This Row],[division]]&amp;Table2[[#This Row],[year]],
Teams[college]&amp;Teams[division]&amp;Teams[year],
Teams[finish], "NA")</f>
        <v>0.61458333333333337</v>
      </c>
    </row>
    <row r="1154" spans="1:6" x14ac:dyDescent="0.3">
      <c r="A1154" t="s">
        <v>370</v>
      </c>
      <c r="B1154" t="s">
        <v>19</v>
      </c>
      <c r="C1154">
        <v>6</v>
      </c>
      <c r="D1154">
        <v>2024</v>
      </c>
      <c r="E1154" t="str" cm="1">
        <f t="array" ref="E1154">_xlfn.XLOOKUP(Table2[[#This Row],[college]]&amp;Table2[[#This Row],[division]]&amp;Table2[[#This Row],[year]],
Teams[college]&amp;Teams[division]&amp;Teams[year],
Teams[placing], "NA")</f>
        <v>DNF</v>
      </c>
      <c r="F1154" s="1" t="str" cm="1">
        <f t="array" ref="F1154">_xlfn.XLOOKUP(Table2[[#This Row],[college]]&amp;Table2[[#This Row],[division]]&amp;Table2[[#This Row],[year]],
Teams[college]&amp;Teams[division]&amp;Teams[year],
Teams[finish], "NA")</f>
        <v>NA</v>
      </c>
    </row>
    <row r="1155" spans="1:6" x14ac:dyDescent="0.3">
      <c r="A1155" t="s">
        <v>591</v>
      </c>
      <c r="B1155" t="s">
        <v>19</v>
      </c>
      <c r="C1155">
        <v>3</v>
      </c>
      <c r="D1155">
        <v>2023</v>
      </c>
      <c r="E1155" t="str" cm="1">
        <f t="array" ref="E1155">_xlfn.XLOOKUP(Table2[[#This Row],[college]]&amp;Table2[[#This Row],[division]]&amp;Table2[[#This Row],[year]],
Teams[college]&amp;Teams[division]&amp;Teams[year],
Teams[placing], "NA")</f>
        <v>DNF</v>
      </c>
      <c r="F1155" s="1" t="str" cm="1">
        <f t="array" ref="F1155">_xlfn.XLOOKUP(Table2[[#This Row],[college]]&amp;Table2[[#This Row],[division]]&amp;Table2[[#This Row],[year]],
Teams[college]&amp;Teams[division]&amp;Teams[year],
Teams[finish], "NA")</f>
        <v>NA</v>
      </c>
    </row>
    <row r="1156" spans="1:6" x14ac:dyDescent="0.3">
      <c r="A1156" t="s">
        <v>189</v>
      </c>
      <c r="B1156" t="s">
        <v>123</v>
      </c>
      <c r="C1156">
        <v>7</v>
      </c>
      <c r="D1156">
        <v>2025</v>
      </c>
      <c r="E1156" cm="1">
        <f t="array" ref="E1156">_xlfn.XLOOKUP(Table2[[#This Row],[college]]&amp;Table2[[#This Row],[division]]&amp;Table2[[#This Row],[year]],
Teams[college]&amp;Teams[division]&amp;Teams[year],
Teams[placing], "NA")</f>
        <v>11</v>
      </c>
      <c r="F1156" s="1" cm="1">
        <f t="array" ref="F1156">_xlfn.XLOOKUP(Table2[[#This Row],[college]]&amp;Table2[[#This Row],[division]]&amp;Table2[[#This Row],[year]],
Teams[college]&amp;Teams[division]&amp;Teams[year],
Teams[finish], "NA")</f>
        <v>0.63472222222222219</v>
      </c>
    </row>
    <row r="1157" spans="1:6" x14ac:dyDescent="0.3">
      <c r="A1157" t="s">
        <v>495</v>
      </c>
      <c r="B1157" t="s">
        <v>48</v>
      </c>
      <c r="C1157">
        <v>5</v>
      </c>
      <c r="D1157">
        <v>2024</v>
      </c>
      <c r="E1157" cm="1">
        <f t="array" ref="E1157">_xlfn.XLOOKUP(Table2[[#This Row],[college]]&amp;Table2[[#This Row],[division]]&amp;Table2[[#This Row],[year]],
Teams[college]&amp;Teams[division]&amp;Teams[year],
Teams[placing], "NA")</f>
        <v>2</v>
      </c>
      <c r="F1157" s="1" cm="1">
        <f t="array" ref="F1157">_xlfn.XLOOKUP(Table2[[#This Row],[college]]&amp;Table2[[#This Row],[division]]&amp;Table2[[#This Row],[year]],
Teams[college]&amp;Teams[division]&amp;Teams[year],
Teams[finish], "NA")</f>
        <v>0.57361111111111107</v>
      </c>
    </row>
    <row r="1158" spans="1:6" x14ac:dyDescent="0.3">
      <c r="A1158" t="s">
        <v>495</v>
      </c>
      <c r="B1158" t="s">
        <v>48</v>
      </c>
      <c r="C1158">
        <v>6</v>
      </c>
      <c r="D1158">
        <v>2023</v>
      </c>
      <c r="E1158" cm="1">
        <f t="array" ref="E1158">_xlfn.XLOOKUP(Table2[[#This Row],[college]]&amp;Table2[[#This Row],[division]]&amp;Table2[[#This Row],[year]],
Teams[college]&amp;Teams[division]&amp;Teams[year],
Teams[placing], "NA")</f>
        <v>6</v>
      </c>
      <c r="F1158" s="1" cm="1">
        <f t="array" ref="F1158">_xlfn.XLOOKUP(Table2[[#This Row],[college]]&amp;Table2[[#This Row],[division]]&amp;Table2[[#This Row],[year]],
Teams[college]&amp;Teams[division]&amp;Teams[year],
Teams[finish], "NA")</f>
        <v>0.66874999999999996</v>
      </c>
    </row>
    <row r="1159" spans="1:6" x14ac:dyDescent="0.3">
      <c r="A1159" t="s">
        <v>614</v>
      </c>
      <c r="B1159" t="s">
        <v>754</v>
      </c>
      <c r="C1159">
        <v>2</v>
      </c>
      <c r="D1159">
        <v>2023</v>
      </c>
      <c r="E1159" t="str" cm="1">
        <f t="array" ref="E1159">_xlfn.XLOOKUP(Table2[[#This Row],[college]]&amp;Table2[[#This Row],[division]]&amp;Table2[[#This Row],[year]],
Teams[college]&amp;Teams[division]&amp;Teams[year],
Teams[placing], "NA")</f>
        <v>NA</v>
      </c>
      <c r="F1159" s="1" cm="1">
        <f t="array" ref="F1159">_xlfn.XLOOKUP(Table2[[#This Row],[college]]&amp;Table2[[#This Row],[division]]&amp;Table2[[#This Row],[year]],
Teams[college]&amp;Teams[division]&amp;Teams[year],
Teams[finish], "NA")</f>
        <v>0.5541666666666667</v>
      </c>
    </row>
    <row r="1160" spans="1:6" x14ac:dyDescent="0.3">
      <c r="A1160" t="s">
        <v>402</v>
      </c>
      <c r="B1160" t="s">
        <v>15</v>
      </c>
      <c r="C1160">
        <v>4</v>
      </c>
      <c r="D1160">
        <v>2024</v>
      </c>
      <c r="E1160" cm="1">
        <f t="array" ref="E1160">_xlfn.XLOOKUP(Table2[[#This Row],[college]]&amp;Table2[[#This Row],[division]]&amp;Table2[[#This Row],[year]],
Teams[college]&amp;Teams[division]&amp;Teams[year],
Teams[placing], "NA")</f>
        <v>7</v>
      </c>
      <c r="F1160" s="1" cm="1">
        <f t="array" ref="F1160">_xlfn.XLOOKUP(Table2[[#This Row],[college]]&amp;Table2[[#This Row],[division]]&amp;Table2[[#This Row],[year]],
Teams[college]&amp;Teams[division]&amp;Teams[year],
Teams[finish], "NA")</f>
        <v>0.69097222222222221</v>
      </c>
    </row>
    <row r="1161" spans="1:6" x14ac:dyDescent="0.3">
      <c r="A1161" t="s">
        <v>533</v>
      </c>
      <c r="B1161" t="s">
        <v>5</v>
      </c>
      <c r="C1161">
        <v>4</v>
      </c>
      <c r="D1161">
        <v>2023</v>
      </c>
      <c r="E1161" cm="1">
        <f t="array" ref="E1161">_xlfn.XLOOKUP(Table2[[#This Row],[college]]&amp;Table2[[#This Row],[division]]&amp;Table2[[#This Row],[year]],
Teams[college]&amp;Teams[division]&amp;Teams[year],
Teams[placing], "NA")</f>
        <v>4</v>
      </c>
      <c r="F1161" s="1" cm="1">
        <f t="array" ref="F1161">_xlfn.XLOOKUP(Table2[[#This Row],[college]]&amp;Table2[[#This Row],[division]]&amp;Table2[[#This Row],[year]],
Teams[college]&amp;Teams[division]&amp;Teams[year],
Teams[finish], "NA")</f>
        <v>0.57708333333333328</v>
      </c>
    </row>
    <row r="1162" spans="1:6" x14ac:dyDescent="0.3">
      <c r="A1162" t="s">
        <v>533</v>
      </c>
      <c r="B1162" t="s">
        <v>5</v>
      </c>
      <c r="C1162">
        <v>1</v>
      </c>
      <c r="D1162">
        <v>2026</v>
      </c>
      <c r="E1162" cm="1">
        <f t="array" ref="E1162">_xlfn.XLOOKUP(Table2[[#This Row],[college]]&amp;Table2[[#This Row],[division]]&amp;Table2[[#This Row],[year]],
Teams[college]&amp;Teams[division]&amp;Teams[year],
Teams[placing], "NA")</f>
        <v>0</v>
      </c>
      <c r="F1162" s="1" cm="1">
        <f t="array" ref="F1162">_xlfn.XLOOKUP(Table2[[#This Row],[college]]&amp;Table2[[#This Row],[division]]&amp;Table2[[#This Row],[year]],
Teams[college]&amp;Teams[division]&amp;Teams[year],
Teams[finish], "NA")</f>
        <v>0</v>
      </c>
    </row>
    <row r="1163" spans="1:6" x14ac:dyDescent="0.3">
      <c r="A1163" t="s">
        <v>230</v>
      </c>
      <c r="B1163" t="s">
        <v>10</v>
      </c>
      <c r="C1163">
        <v>5</v>
      </c>
      <c r="D1163">
        <v>2025</v>
      </c>
      <c r="E1163" cm="1">
        <f t="array" ref="E1163">_xlfn.XLOOKUP(Table2[[#This Row],[college]]&amp;Table2[[#This Row],[division]]&amp;Table2[[#This Row],[year]],
Teams[college]&amp;Teams[division]&amp;Teams[year],
Teams[placing], "NA")</f>
        <v>1</v>
      </c>
      <c r="F1163" s="1" cm="1">
        <f t="array" ref="F1163">_xlfn.XLOOKUP(Table2[[#This Row],[college]]&amp;Table2[[#This Row],[division]]&amp;Table2[[#This Row],[year]],
Teams[college]&amp;Teams[division]&amp;Teams[year],
Teams[finish], "NA")</f>
        <v>0.42222222222222222</v>
      </c>
    </row>
    <row r="1164" spans="1:6" x14ac:dyDescent="0.3">
      <c r="A1164" t="s">
        <v>453</v>
      </c>
      <c r="B1164" t="s">
        <v>758</v>
      </c>
      <c r="C1164">
        <v>5</v>
      </c>
      <c r="D1164">
        <v>2025</v>
      </c>
      <c r="E1164" t="str" cm="1">
        <f t="array" ref="E1164">_xlfn.XLOOKUP(Table2[[#This Row],[college]]&amp;Table2[[#This Row],[division]]&amp;Table2[[#This Row],[year]],
Teams[college]&amp;Teams[division]&amp;Teams[year],
Teams[placing], "NA")</f>
        <v>NA</v>
      </c>
      <c r="F1164" s="1" cm="1">
        <f t="array" ref="F1164">_xlfn.XLOOKUP(Table2[[#This Row],[college]]&amp;Table2[[#This Row],[division]]&amp;Table2[[#This Row],[year]],
Teams[college]&amp;Teams[division]&amp;Teams[year],
Teams[finish], "NA")</f>
        <v>0.63611111111111107</v>
      </c>
    </row>
    <row r="1165" spans="1:6" x14ac:dyDescent="0.3">
      <c r="A1165" t="s">
        <v>453</v>
      </c>
      <c r="B1165" t="s">
        <v>755</v>
      </c>
      <c r="C1165">
        <v>2</v>
      </c>
      <c r="D1165">
        <v>2024</v>
      </c>
      <c r="E1165" t="str" cm="1">
        <f t="array" ref="E1165">_xlfn.XLOOKUP(Table2[[#This Row],[college]]&amp;Table2[[#This Row],[division]]&amp;Table2[[#This Row],[year]],
Teams[college]&amp;Teams[division]&amp;Teams[year],
Teams[placing], "NA")</f>
        <v>DNF</v>
      </c>
      <c r="F1165" s="1" t="str" cm="1">
        <f t="array" ref="F1165">_xlfn.XLOOKUP(Table2[[#This Row],[college]]&amp;Table2[[#This Row],[division]]&amp;Table2[[#This Row],[year]],
Teams[college]&amp;Teams[division]&amp;Teams[year],
Teams[finish], "NA")</f>
        <v>NA</v>
      </c>
    </row>
    <row r="1166" spans="1:6" x14ac:dyDescent="0.3">
      <c r="A1166" t="s">
        <v>800</v>
      </c>
      <c r="B1166" t="s">
        <v>19</v>
      </c>
      <c r="C1166">
        <v>1</v>
      </c>
      <c r="D1166">
        <v>2026</v>
      </c>
      <c r="E1166" cm="1">
        <f t="array" ref="E1166">_xlfn.XLOOKUP(Table2[[#This Row],[college]]&amp;Table2[[#This Row],[division]]&amp;Table2[[#This Row],[year]],
Teams[college]&amp;Teams[division]&amp;Teams[year],
Teams[placing], "NA")</f>
        <v>0</v>
      </c>
      <c r="F1166" s="1" cm="1">
        <f t="array" ref="F1166">_xlfn.XLOOKUP(Table2[[#This Row],[college]]&amp;Table2[[#This Row],[division]]&amp;Table2[[#This Row],[year]],
Teams[college]&amp;Teams[division]&amp;Teams[year],
Teams[finish], "NA")</f>
        <v>0</v>
      </c>
    </row>
    <row r="1167" spans="1:6" x14ac:dyDescent="0.3">
      <c r="A1167" t="s">
        <v>406</v>
      </c>
      <c r="B1167" t="s">
        <v>137</v>
      </c>
      <c r="C1167">
        <v>5</v>
      </c>
      <c r="D1167">
        <v>2024</v>
      </c>
      <c r="E1167" cm="1">
        <f t="array" ref="E1167">_xlfn.XLOOKUP(Table2[[#This Row],[college]]&amp;Table2[[#This Row],[division]]&amp;Table2[[#This Row],[year]],
Teams[college]&amp;Teams[division]&amp;Teams[year],
Teams[placing], "NA")</f>
        <v>3</v>
      </c>
      <c r="F1167" s="1" cm="1">
        <f t="array" ref="F1167">_xlfn.XLOOKUP(Table2[[#This Row],[college]]&amp;Table2[[#This Row],[division]]&amp;Table2[[#This Row],[year]],
Teams[college]&amp;Teams[division]&amp;Teams[year],
Teams[finish], "NA")</f>
        <v>0.59444444444444444</v>
      </c>
    </row>
    <row r="1168" spans="1:6" x14ac:dyDescent="0.3">
      <c r="A1168" t="s">
        <v>838</v>
      </c>
      <c r="B1168" t="s">
        <v>132</v>
      </c>
      <c r="C1168">
        <v>3</v>
      </c>
      <c r="D1168">
        <v>2026</v>
      </c>
      <c r="E1168" cm="1">
        <f t="array" ref="E1168">_xlfn.XLOOKUP(Table2[[#This Row],[college]]&amp;Table2[[#This Row],[division]]&amp;Table2[[#This Row],[year]],
Teams[college]&amp;Teams[division]&amp;Teams[year],
Teams[placing], "NA")</f>
        <v>0</v>
      </c>
      <c r="F1168" s="1" cm="1">
        <f t="array" ref="F1168">_xlfn.XLOOKUP(Table2[[#This Row],[college]]&amp;Table2[[#This Row],[division]]&amp;Table2[[#This Row],[year]],
Teams[college]&amp;Teams[division]&amp;Teams[year],
Teams[finish], "NA")</f>
        <v>0</v>
      </c>
    </row>
    <row r="1169" spans="1:6" x14ac:dyDescent="0.3">
      <c r="A1169" t="s">
        <v>684</v>
      </c>
      <c r="B1169" t="s">
        <v>19</v>
      </c>
      <c r="C1169">
        <v>6</v>
      </c>
      <c r="D1169">
        <v>2022</v>
      </c>
      <c r="E1169" cm="1">
        <f t="array" ref="E1169">_xlfn.XLOOKUP(Table2[[#This Row],[college]]&amp;Table2[[#This Row],[division]]&amp;Table2[[#This Row],[year]],
Teams[college]&amp;Teams[division]&amp;Teams[year],
Teams[placing], "NA")</f>
        <v>2</v>
      </c>
      <c r="F1169" s="1" cm="1">
        <f t="array" ref="F1169">_xlfn.XLOOKUP(Table2[[#This Row],[college]]&amp;Table2[[#This Row],[division]]&amp;Table2[[#This Row],[year]],
Teams[college]&amp;Teams[division]&amp;Teams[year],
Teams[finish], "NA")</f>
        <v>0.49027777777777781</v>
      </c>
    </row>
    <row r="1170" spans="1:6" x14ac:dyDescent="0.3">
      <c r="A1170" t="s">
        <v>465</v>
      </c>
      <c r="B1170" t="s">
        <v>755</v>
      </c>
      <c r="C1170">
        <v>5</v>
      </c>
      <c r="D1170">
        <v>2024</v>
      </c>
      <c r="E1170" t="str" cm="1">
        <f t="array" ref="E1170">_xlfn.XLOOKUP(Table2[[#This Row],[college]]&amp;Table2[[#This Row],[division]]&amp;Table2[[#This Row],[year]],
Teams[college]&amp;Teams[division]&amp;Teams[year],
Teams[placing], "NA")</f>
        <v>NA</v>
      </c>
      <c r="F1170" s="1" cm="1">
        <f t="array" ref="F1170">_xlfn.XLOOKUP(Table2[[#This Row],[college]]&amp;Table2[[#This Row],[division]]&amp;Table2[[#This Row],[year]],
Teams[college]&amp;Teams[division]&amp;Teams[year],
Teams[finish], "NA")</f>
        <v>0.60069444444444442</v>
      </c>
    </row>
    <row r="1171" spans="1:6" x14ac:dyDescent="0.3">
      <c r="A1171" t="s">
        <v>78</v>
      </c>
      <c r="B1171" t="s">
        <v>10</v>
      </c>
      <c r="C1171">
        <v>3</v>
      </c>
      <c r="D1171">
        <v>2025</v>
      </c>
      <c r="E1171" t="str" cm="1">
        <f t="array" ref="E1171">_xlfn.XLOOKUP(Table2[[#This Row],[college]]&amp;Table2[[#This Row],[division]]&amp;Table2[[#This Row],[year]],
Teams[college]&amp;Teams[division]&amp;Teams[year],
Teams[placing], "NA")</f>
        <v>DNF</v>
      </c>
      <c r="F1171" s="1" t="str" cm="1">
        <f t="array" ref="F1171">_xlfn.XLOOKUP(Table2[[#This Row],[college]]&amp;Table2[[#This Row],[division]]&amp;Table2[[#This Row],[year]],
Teams[college]&amp;Teams[division]&amp;Teams[year],
Teams[finish], "NA")</f>
        <v>NA</v>
      </c>
    </row>
    <row r="1172" spans="1:6" x14ac:dyDescent="0.3">
      <c r="A1172" t="s">
        <v>289</v>
      </c>
      <c r="B1172" t="s">
        <v>250</v>
      </c>
      <c r="C1172">
        <v>6</v>
      </c>
      <c r="D1172">
        <v>2025</v>
      </c>
      <c r="E1172" cm="1">
        <f t="array" ref="E1172">_xlfn.XLOOKUP(Table2[[#This Row],[college]]&amp;Table2[[#This Row],[division]]&amp;Table2[[#This Row],[year]],
Teams[college]&amp;Teams[division]&amp;Teams[year],
Teams[placing], "NA")</f>
        <v>5</v>
      </c>
      <c r="F1172" s="1" cm="1">
        <f t="array" ref="F1172">_xlfn.XLOOKUP(Table2[[#This Row],[college]]&amp;Table2[[#This Row],[division]]&amp;Table2[[#This Row],[year]],
Teams[college]&amp;Teams[division]&amp;Teams[year],
Teams[finish], "NA")</f>
        <v>0.5625</v>
      </c>
    </row>
    <row r="1173" spans="1:6" x14ac:dyDescent="0.3">
      <c r="A1173" t="s">
        <v>552</v>
      </c>
      <c r="B1173" t="s">
        <v>15</v>
      </c>
      <c r="C1173">
        <v>6</v>
      </c>
      <c r="D1173">
        <v>2023</v>
      </c>
      <c r="E1173" cm="1">
        <f t="array" ref="E1173">_xlfn.XLOOKUP(Table2[[#This Row],[college]]&amp;Table2[[#This Row],[division]]&amp;Table2[[#This Row],[year]],
Teams[college]&amp;Teams[division]&amp;Teams[year],
Teams[placing], "NA")</f>
        <v>3</v>
      </c>
      <c r="F1173" s="1" cm="1">
        <f t="array" ref="F1173">_xlfn.XLOOKUP(Table2[[#This Row],[college]]&amp;Table2[[#This Row],[division]]&amp;Table2[[#This Row],[year]],
Teams[college]&amp;Teams[division]&amp;Teams[year],
Teams[finish], "NA")</f>
        <v>0.56180555555555556</v>
      </c>
    </row>
    <row r="1174" spans="1:6" x14ac:dyDescent="0.3">
      <c r="A1174" t="s">
        <v>852</v>
      </c>
      <c r="B1174" t="s">
        <v>10</v>
      </c>
      <c r="C1174">
        <v>4</v>
      </c>
      <c r="D1174">
        <v>2026</v>
      </c>
      <c r="E1174" cm="1">
        <f t="array" ref="E1174">_xlfn.XLOOKUP(Table2[[#This Row],[college]]&amp;Table2[[#This Row],[division]]&amp;Table2[[#This Row],[year]],
Teams[college]&amp;Teams[division]&amp;Teams[year],
Teams[placing], "NA")</f>
        <v>0</v>
      </c>
      <c r="F1174" s="1" cm="1">
        <f t="array" ref="F1174">_xlfn.XLOOKUP(Table2[[#This Row],[college]]&amp;Table2[[#This Row],[division]]&amp;Table2[[#This Row],[year]],
Teams[college]&amp;Teams[division]&amp;Teams[year],
Teams[finish], "NA")</f>
        <v>0</v>
      </c>
    </row>
    <row r="1175" spans="1:6" x14ac:dyDescent="0.3">
      <c r="A1175" t="s">
        <v>444</v>
      </c>
      <c r="B1175" t="s">
        <v>10</v>
      </c>
      <c r="C1175">
        <v>5</v>
      </c>
      <c r="D1175">
        <v>2024</v>
      </c>
      <c r="E1175" cm="1">
        <f t="array" ref="E1175">_xlfn.XLOOKUP(Table2[[#This Row],[college]]&amp;Table2[[#This Row],[division]]&amp;Table2[[#This Row],[year]],
Teams[college]&amp;Teams[division]&amp;Teams[year],
Teams[placing], "NA")</f>
        <v>5</v>
      </c>
      <c r="F1175" s="1" cm="1">
        <f t="array" ref="F1175">_xlfn.XLOOKUP(Table2[[#This Row],[college]]&amp;Table2[[#This Row],[division]]&amp;Table2[[#This Row],[year]],
Teams[college]&amp;Teams[division]&amp;Teams[year],
Teams[finish], "NA")</f>
        <v>0.61805555555555558</v>
      </c>
    </row>
    <row r="1176" spans="1:6" x14ac:dyDescent="0.3">
      <c r="A1176" t="s">
        <v>444</v>
      </c>
      <c r="B1176" t="s">
        <v>10</v>
      </c>
      <c r="C1176">
        <v>6</v>
      </c>
      <c r="D1176">
        <v>2023</v>
      </c>
      <c r="E1176" cm="1">
        <f t="array" ref="E1176">_xlfn.XLOOKUP(Table2[[#This Row],[college]]&amp;Table2[[#This Row],[division]]&amp;Table2[[#This Row],[year]],
Teams[college]&amp;Teams[division]&amp;Teams[year],
Teams[placing], "NA")</f>
        <v>4</v>
      </c>
      <c r="F1176" s="1" cm="1">
        <f t="array" ref="F1176">_xlfn.XLOOKUP(Table2[[#This Row],[college]]&amp;Table2[[#This Row],[division]]&amp;Table2[[#This Row],[year]],
Teams[college]&amp;Teams[division]&amp;Teams[year],
Teams[finish], "NA")</f>
        <v>0.65833333333333333</v>
      </c>
    </row>
    <row r="1177" spans="1:6" x14ac:dyDescent="0.3">
      <c r="A1177" t="s">
        <v>823</v>
      </c>
      <c r="B1177" t="s">
        <v>10</v>
      </c>
      <c r="C1177">
        <v>2</v>
      </c>
      <c r="D1177">
        <v>2026</v>
      </c>
      <c r="E1177" cm="1">
        <f t="array" ref="E1177">_xlfn.XLOOKUP(Table2[[#This Row],[college]]&amp;Table2[[#This Row],[division]]&amp;Table2[[#This Row],[year]],
Teams[college]&amp;Teams[division]&amp;Teams[year],
Teams[placing], "NA")</f>
        <v>0</v>
      </c>
      <c r="F1177" s="1" cm="1">
        <f t="array" ref="F1177">_xlfn.XLOOKUP(Table2[[#This Row],[college]]&amp;Table2[[#This Row],[division]]&amp;Table2[[#This Row],[year]],
Teams[college]&amp;Teams[division]&amp;Teams[year],
Teams[finish], "NA")</f>
        <v>0</v>
      </c>
    </row>
    <row r="1178" spans="1:6" x14ac:dyDescent="0.3">
      <c r="A1178" t="s">
        <v>687</v>
      </c>
      <c r="B1178" t="s">
        <v>10</v>
      </c>
      <c r="C1178">
        <v>7</v>
      </c>
      <c r="D1178">
        <v>2022</v>
      </c>
      <c r="E1178" cm="1">
        <f t="array" ref="E1178">_xlfn.XLOOKUP(Table2[[#This Row],[college]]&amp;Table2[[#This Row],[division]]&amp;Table2[[#This Row],[year]],
Teams[college]&amp;Teams[division]&amp;Teams[year],
Teams[placing], "NA")</f>
        <v>6</v>
      </c>
      <c r="F1178" s="1" cm="1">
        <f t="array" ref="F1178">_xlfn.XLOOKUP(Table2[[#This Row],[college]]&amp;Table2[[#This Row],[division]]&amp;Table2[[#This Row],[year]],
Teams[college]&amp;Teams[division]&amp;Teams[year],
Teams[finish], "NA")</f>
        <v>0.47499999999999998</v>
      </c>
    </row>
    <row r="1179" spans="1:6" x14ac:dyDescent="0.3">
      <c r="A1179" t="s">
        <v>470</v>
      </c>
      <c r="B1179" t="s">
        <v>241</v>
      </c>
      <c r="C1179">
        <v>3</v>
      </c>
      <c r="D1179">
        <v>2024</v>
      </c>
      <c r="E1179" cm="1">
        <f t="array" ref="E1179">_xlfn.XLOOKUP(Table2[[#This Row],[college]]&amp;Table2[[#This Row],[division]]&amp;Table2[[#This Row],[year]],
Teams[college]&amp;Teams[division]&amp;Teams[year],
Teams[placing], "NA")</f>
        <v>2</v>
      </c>
      <c r="F1179" s="1" cm="1">
        <f t="array" ref="F1179">_xlfn.XLOOKUP(Table2[[#This Row],[college]]&amp;Table2[[#This Row],[division]]&amp;Table2[[#This Row],[year]],
Teams[college]&amp;Teams[division]&amp;Teams[year],
Teams[finish], "NA")</f>
        <v>0.58402777777777781</v>
      </c>
    </row>
    <row r="1180" spans="1:6" x14ac:dyDescent="0.3">
      <c r="A1180" t="s">
        <v>470</v>
      </c>
      <c r="B1180" t="s">
        <v>241</v>
      </c>
      <c r="C1180">
        <v>5</v>
      </c>
      <c r="D1180">
        <v>2023</v>
      </c>
      <c r="E1180" cm="1">
        <f t="array" ref="E1180">_xlfn.XLOOKUP(Table2[[#This Row],[college]]&amp;Table2[[#This Row],[division]]&amp;Table2[[#This Row],[year]],
Teams[college]&amp;Teams[division]&amp;Teams[year],
Teams[placing], "NA")</f>
        <v>3</v>
      </c>
      <c r="F1180" s="1" cm="1">
        <f t="array" ref="F1180">_xlfn.XLOOKUP(Table2[[#This Row],[college]]&amp;Table2[[#This Row],[division]]&amp;Table2[[#This Row],[year]],
Teams[college]&amp;Teams[division]&amp;Teams[year],
Teams[finish], "NA")</f>
        <v>0.61805555555555558</v>
      </c>
    </row>
    <row r="1181" spans="1:6" x14ac:dyDescent="0.3">
      <c r="A1181" t="s">
        <v>581</v>
      </c>
      <c r="B1181" t="s">
        <v>250</v>
      </c>
      <c r="C1181">
        <v>5</v>
      </c>
      <c r="D1181">
        <v>2022</v>
      </c>
      <c r="E1181" cm="1">
        <f t="array" ref="E1181">_xlfn.XLOOKUP(Table2[[#This Row],[college]]&amp;Table2[[#This Row],[division]]&amp;Table2[[#This Row],[year]],
Teams[college]&amp;Teams[division]&amp;Teams[year],
Teams[placing], "NA")</f>
        <v>4</v>
      </c>
      <c r="F1181" s="1" cm="1">
        <f t="array" ref="F1181">_xlfn.XLOOKUP(Table2[[#This Row],[college]]&amp;Table2[[#This Row],[division]]&amp;Table2[[#This Row],[year]],
Teams[college]&amp;Teams[division]&amp;Teams[year],
Teams[finish], "NA")</f>
        <v>0.52847222222222223</v>
      </c>
    </row>
    <row r="1182" spans="1:6" x14ac:dyDescent="0.3">
      <c r="A1182" t="s">
        <v>581</v>
      </c>
      <c r="B1182" t="s">
        <v>250</v>
      </c>
      <c r="C1182">
        <v>4</v>
      </c>
      <c r="D1182">
        <v>2023</v>
      </c>
      <c r="E1182" t="str" cm="1">
        <f t="array" ref="E1182">_xlfn.XLOOKUP(Table2[[#This Row],[college]]&amp;Table2[[#This Row],[division]]&amp;Table2[[#This Row],[year]],
Teams[college]&amp;Teams[division]&amp;Teams[year],
Teams[placing], "NA")</f>
        <v>DNF</v>
      </c>
      <c r="F1182" s="1" t="str" cm="1">
        <f t="array" ref="F1182">_xlfn.XLOOKUP(Table2[[#This Row],[college]]&amp;Table2[[#This Row],[division]]&amp;Table2[[#This Row],[year]],
Teams[college]&amp;Teams[division]&amp;Teams[year],
Teams[finish], "NA")</f>
        <v>NA</v>
      </c>
    </row>
    <row r="1183" spans="1:6" x14ac:dyDescent="0.3">
      <c r="A1183" t="s">
        <v>599</v>
      </c>
      <c r="B1183" t="s">
        <v>10</v>
      </c>
      <c r="C1183">
        <v>6</v>
      </c>
      <c r="D1183">
        <v>2023</v>
      </c>
      <c r="E1183" cm="1">
        <f t="array" ref="E1183">_xlfn.XLOOKUP(Table2[[#This Row],[college]]&amp;Table2[[#This Row],[division]]&amp;Table2[[#This Row],[year]],
Teams[college]&amp;Teams[division]&amp;Teams[year],
Teams[placing], "NA")</f>
        <v>4</v>
      </c>
      <c r="F1183" s="1" cm="1">
        <f t="array" ref="F1183">_xlfn.XLOOKUP(Table2[[#This Row],[college]]&amp;Table2[[#This Row],[division]]&amp;Table2[[#This Row],[year]],
Teams[college]&amp;Teams[division]&amp;Teams[year],
Teams[finish], "NA")</f>
        <v>0.65833333333333333</v>
      </c>
    </row>
    <row r="1184" spans="1:6" x14ac:dyDescent="0.3">
      <c r="A1184" t="s">
        <v>217</v>
      </c>
      <c r="B1184" t="s">
        <v>123</v>
      </c>
      <c r="C1184">
        <v>6</v>
      </c>
      <c r="D1184">
        <v>2024</v>
      </c>
      <c r="E1184" cm="1">
        <f t="array" ref="E1184">_xlfn.XLOOKUP(Table2[[#This Row],[college]]&amp;Table2[[#This Row],[division]]&amp;Table2[[#This Row],[year]],
Teams[college]&amp;Teams[division]&amp;Teams[year],
Teams[placing], "NA")</f>
        <v>5</v>
      </c>
      <c r="F1184" s="1" cm="1">
        <f t="array" ref="F1184">_xlfn.XLOOKUP(Table2[[#This Row],[college]]&amp;Table2[[#This Row],[division]]&amp;Table2[[#This Row],[year]],
Teams[college]&amp;Teams[division]&amp;Teams[year],
Teams[finish], "NA")</f>
        <v>0.64444444444444449</v>
      </c>
    </row>
    <row r="1185" spans="1:6" x14ac:dyDescent="0.3">
      <c r="A1185" t="s">
        <v>217</v>
      </c>
      <c r="B1185" t="s">
        <v>123</v>
      </c>
      <c r="C1185">
        <v>4</v>
      </c>
      <c r="D1185">
        <v>2025</v>
      </c>
      <c r="E1185" t="str" cm="1">
        <f t="array" ref="E1185">_xlfn.XLOOKUP(Table2[[#This Row],[college]]&amp;Table2[[#This Row],[division]]&amp;Table2[[#This Row],[year]],
Teams[college]&amp;Teams[division]&amp;Teams[year],
Teams[placing], "NA")</f>
        <v>DNF</v>
      </c>
      <c r="F1185" s="1" t="str" cm="1">
        <f t="array" ref="F1185">_xlfn.XLOOKUP(Table2[[#This Row],[college]]&amp;Table2[[#This Row],[division]]&amp;Table2[[#This Row],[year]],
Teams[college]&amp;Teams[division]&amp;Teams[year],
Teams[finish], "NA")</f>
        <v>NA</v>
      </c>
    </row>
    <row r="1186" spans="1:6" x14ac:dyDescent="0.3">
      <c r="A1186" t="s">
        <v>559</v>
      </c>
      <c r="B1186" t="s">
        <v>137</v>
      </c>
      <c r="C1186">
        <v>5</v>
      </c>
      <c r="D1186">
        <v>2023</v>
      </c>
      <c r="E1186" cm="1">
        <f t="array" ref="E1186">_xlfn.XLOOKUP(Table2[[#This Row],[college]]&amp;Table2[[#This Row],[division]]&amp;Table2[[#This Row],[year]],
Teams[college]&amp;Teams[division]&amp;Teams[year],
Teams[placing], "NA")</f>
        <v>6</v>
      </c>
      <c r="F1186" s="1" cm="1">
        <f t="array" ref="F1186">_xlfn.XLOOKUP(Table2[[#This Row],[college]]&amp;Table2[[#This Row],[division]]&amp;Table2[[#This Row],[year]],
Teams[college]&amp;Teams[division]&amp;Teams[year],
Teams[finish], "NA")</f>
        <v>0.66666666666666663</v>
      </c>
    </row>
    <row r="1187" spans="1:6" x14ac:dyDescent="0.3">
      <c r="A1187" t="s">
        <v>693</v>
      </c>
      <c r="B1187" t="s">
        <v>10</v>
      </c>
      <c r="C1187">
        <v>6</v>
      </c>
      <c r="D1187">
        <v>2022</v>
      </c>
      <c r="E1187" cm="1">
        <f t="array" ref="E1187">_xlfn.XLOOKUP(Table2[[#This Row],[college]]&amp;Table2[[#This Row],[division]]&amp;Table2[[#This Row],[year]],
Teams[college]&amp;Teams[division]&amp;Teams[year],
Teams[placing], "NA")</f>
        <v>3</v>
      </c>
      <c r="F1187" s="1" cm="1">
        <f t="array" ref="F1187">_xlfn.XLOOKUP(Table2[[#This Row],[college]]&amp;Table2[[#This Row],[division]]&amp;Table2[[#This Row],[year]],
Teams[college]&amp;Teams[division]&amp;Teams[year],
Teams[finish], "NA")</f>
        <v>0.49583333333333335</v>
      </c>
    </row>
    <row r="1188" spans="1:6" x14ac:dyDescent="0.3">
      <c r="A1188" t="s">
        <v>992</v>
      </c>
      <c r="B1188" t="s">
        <v>5</v>
      </c>
      <c r="C1188">
        <v>5</v>
      </c>
      <c r="D1188">
        <v>2026</v>
      </c>
      <c r="E1188" cm="1">
        <f t="array" ref="E1188">_xlfn.XLOOKUP(Table2[[#This Row],[college]]&amp;Table2[[#This Row],[division]]&amp;Table2[[#This Row],[year]],
Teams[college]&amp;Teams[division]&amp;Teams[year],
Teams[placing], "NA")</f>
        <v>0</v>
      </c>
      <c r="F1188" s="1" cm="1">
        <f t="array" ref="F1188">_xlfn.XLOOKUP(Table2[[#This Row],[college]]&amp;Table2[[#This Row],[division]]&amp;Table2[[#This Row],[year]],
Teams[college]&amp;Teams[division]&amp;Teams[year],
Teams[finish], "NA")</f>
        <v>0</v>
      </c>
    </row>
    <row r="1189" spans="1:6" x14ac:dyDescent="0.3">
      <c r="A1189" t="s">
        <v>225</v>
      </c>
      <c r="B1189" t="s">
        <v>759</v>
      </c>
      <c r="C1189">
        <v>5</v>
      </c>
      <c r="D1189">
        <v>2025</v>
      </c>
      <c r="E1189" t="str" cm="1">
        <f t="array" ref="E1189">_xlfn.XLOOKUP(Table2[[#This Row],[college]]&amp;Table2[[#This Row],[division]]&amp;Table2[[#This Row],[year]],
Teams[college]&amp;Teams[division]&amp;Teams[year],
Teams[placing], "NA")</f>
        <v>NA</v>
      </c>
      <c r="F1189" s="1" cm="1">
        <f t="array" ref="F1189">_xlfn.XLOOKUP(Table2[[#This Row],[college]]&amp;Table2[[#This Row],[division]]&amp;Table2[[#This Row],[year]],
Teams[college]&amp;Teams[division]&amp;Teams[year],
Teams[finish], "NA")</f>
        <v>0.4597222222222222</v>
      </c>
    </row>
    <row r="1190" spans="1:6" x14ac:dyDescent="0.3">
      <c r="A1190" t="s">
        <v>225</v>
      </c>
      <c r="B1190" t="s">
        <v>132</v>
      </c>
      <c r="C1190">
        <v>1</v>
      </c>
      <c r="D1190">
        <v>2024</v>
      </c>
      <c r="E1190" cm="1">
        <f t="array" ref="E1190">_xlfn.XLOOKUP(Table2[[#This Row],[college]]&amp;Table2[[#This Row],[division]]&amp;Table2[[#This Row],[year]],
Teams[college]&amp;Teams[division]&amp;Teams[year],
Teams[placing], "NA")</f>
        <v>8</v>
      </c>
      <c r="F1190" s="1" cm="1">
        <f t="array" ref="F1190">_xlfn.XLOOKUP(Table2[[#This Row],[college]]&amp;Table2[[#This Row],[division]]&amp;Table2[[#This Row],[year]],
Teams[college]&amp;Teams[division]&amp;Teams[year],
Teams[finish], "NA")</f>
        <v>0.69374999999999998</v>
      </c>
    </row>
    <row r="1191" spans="1:6" x14ac:dyDescent="0.3">
      <c r="A1191" t="s">
        <v>225</v>
      </c>
      <c r="B1191" t="s">
        <v>132</v>
      </c>
      <c r="C1191">
        <v>1</v>
      </c>
      <c r="D1191">
        <v>2023</v>
      </c>
      <c r="E1191" t="str" cm="1">
        <f t="array" ref="E1191">_xlfn.XLOOKUP(Table2[[#This Row],[college]]&amp;Table2[[#This Row],[division]]&amp;Table2[[#This Row],[year]],
Teams[college]&amp;Teams[division]&amp;Teams[year],
Teams[placing], "NA")</f>
        <v>DNF</v>
      </c>
      <c r="F1191" s="1" t="str" cm="1">
        <f t="array" ref="F1191">_xlfn.XLOOKUP(Table2[[#This Row],[college]]&amp;Table2[[#This Row],[division]]&amp;Table2[[#This Row],[year]],
Teams[college]&amp;Teams[division]&amp;Teams[year],
Teams[finish], "NA")</f>
        <v>NA</v>
      </c>
    </row>
    <row r="1192" spans="1:6" x14ac:dyDescent="0.3">
      <c r="A1192" t="s">
        <v>916</v>
      </c>
      <c r="B1192" t="s">
        <v>766</v>
      </c>
      <c r="C1192">
        <v>6</v>
      </c>
      <c r="D1192">
        <v>2026</v>
      </c>
      <c r="E1192" cm="1">
        <f t="array" ref="E1192">_xlfn.XLOOKUP(Table2[[#This Row],[college]]&amp;Table2[[#This Row],[division]]&amp;Table2[[#This Row],[year]],
Teams[college]&amp;Teams[division]&amp;Teams[year],
Teams[placing], "NA")</f>
        <v>0</v>
      </c>
      <c r="F1192" s="1" cm="1">
        <f t="array" ref="F1192">_xlfn.XLOOKUP(Table2[[#This Row],[college]]&amp;Table2[[#This Row],[division]]&amp;Table2[[#This Row],[year]],
Teams[college]&amp;Teams[division]&amp;Teams[year],
Teams[finish], "NA")</f>
        <v>0</v>
      </c>
    </row>
    <row r="1193" spans="1:6" x14ac:dyDescent="0.3">
      <c r="A1193" t="s">
        <v>458</v>
      </c>
      <c r="B1193" t="s">
        <v>19</v>
      </c>
      <c r="C1193">
        <v>5</v>
      </c>
      <c r="D1193">
        <v>2023</v>
      </c>
      <c r="E1193" cm="1">
        <f t="array" ref="E1193">_xlfn.XLOOKUP(Table2[[#This Row],[college]]&amp;Table2[[#This Row],[division]]&amp;Table2[[#This Row],[year]],
Teams[college]&amp;Teams[division]&amp;Teams[year],
Teams[placing], "NA")</f>
        <v>1</v>
      </c>
      <c r="F1193" s="1" cm="1">
        <f t="array" ref="F1193">_xlfn.XLOOKUP(Table2[[#This Row],[college]]&amp;Table2[[#This Row],[division]]&amp;Table2[[#This Row],[year]],
Teams[college]&amp;Teams[division]&amp;Teams[year],
Teams[finish], "NA")</f>
        <v>0.55625000000000002</v>
      </c>
    </row>
    <row r="1194" spans="1:6" x14ac:dyDescent="0.3">
      <c r="A1194" t="s">
        <v>458</v>
      </c>
      <c r="B1194" t="s">
        <v>19</v>
      </c>
      <c r="C1194">
        <v>4</v>
      </c>
      <c r="D1194">
        <v>2024</v>
      </c>
      <c r="E1194" cm="1">
        <f t="array" ref="E1194">_xlfn.XLOOKUP(Table2[[#This Row],[college]]&amp;Table2[[#This Row],[division]]&amp;Table2[[#This Row],[year]],
Teams[college]&amp;Teams[division]&amp;Teams[year],
Teams[placing], "NA")</f>
        <v>5</v>
      </c>
      <c r="F1194" s="1" cm="1">
        <f t="array" ref="F1194">_xlfn.XLOOKUP(Table2[[#This Row],[college]]&amp;Table2[[#This Row],[division]]&amp;Table2[[#This Row],[year]],
Teams[college]&amp;Teams[division]&amp;Teams[year],
Teams[finish], "NA")</f>
        <v>0.65833333333333333</v>
      </c>
    </row>
    <row r="1195" spans="1:6" x14ac:dyDescent="0.3">
      <c r="A1195" t="s">
        <v>890</v>
      </c>
      <c r="B1195" t="s">
        <v>250</v>
      </c>
      <c r="C1195">
        <v>5</v>
      </c>
      <c r="D1195">
        <v>2026</v>
      </c>
      <c r="E1195" cm="1">
        <f t="array" ref="E1195">_xlfn.XLOOKUP(Table2[[#This Row],[college]]&amp;Table2[[#This Row],[division]]&amp;Table2[[#This Row],[year]],
Teams[college]&amp;Teams[division]&amp;Teams[year],
Teams[placing], "NA")</f>
        <v>0</v>
      </c>
      <c r="F1195" s="1" cm="1">
        <f t="array" ref="F1195">_xlfn.XLOOKUP(Table2[[#This Row],[college]]&amp;Table2[[#This Row],[division]]&amp;Table2[[#This Row],[year]],
Teams[college]&amp;Teams[division]&amp;Teams[year],
Teams[finish], "NA")</f>
        <v>0</v>
      </c>
    </row>
    <row r="1196" spans="1:6" x14ac:dyDescent="0.3">
      <c r="A1196" t="s">
        <v>698</v>
      </c>
      <c r="B1196" t="s">
        <v>15</v>
      </c>
      <c r="C1196">
        <v>7</v>
      </c>
      <c r="D1196">
        <v>2022</v>
      </c>
      <c r="E1196" cm="1">
        <f t="array" ref="E1196">_xlfn.XLOOKUP(Table2[[#This Row],[college]]&amp;Table2[[#This Row],[division]]&amp;Table2[[#This Row],[year]],
Teams[college]&amp;Teams[division]&amp;Teams[year],
Teams[placing], "NA")</f>
        <v>5</v>
      </c>
      <c r="F1196" s="1" cm="1">
        <f t="array" ref="F1196">_xlfn.XLOOKUP(Table2[[#This Row],[college]]&amp;Table2[[#This Row],[division]]&amp;Table2[[#This Row],[year]],
Teams[college]&amp;Teams[division]&amp;Teams[year],
Teams[finish], "NA")</f>
        <v>0.46388888888888891</v>
      </c>
    </row>
    <row r="1197" spans="1:6" x14ac:dyDescent="0.3">
      <c r="A1197" t="s">
        <v>369</v>
      </c>
      <c r="B1197" t="s">
        <v>132</v>
      </c>
      <c r="C1197">
        <v>7</v>
      </c>
      <c r="D1197">
        <v>2023</v>
      </c>
      <c r="E1197" cm="1">
        <f t="array" ref="E1197">_xlfn.XLOOKUP(Table2[[#This Row],[college]]&amp;Table2[[#This Row],[division]]&amp;Table2[[#This Row],[year]],
Teams[college]&amp;Teams[division]&amp;Teams[year],
Teams[placing], "NA")</f>
        <v>8</v>
      </c>
      <c r="F1197" s="1" cm="1">
        <f t="array" ref="F1197">_xlfn.XLOOKUP(Table2[[#This Row],[college]]&amp;Table2[[#This Row],[division]]&amp;Table2[[#This Row],[year]],
Teams[college]&amp;Teams[division]&amp;Teams[year],
Teams[finish], "NA")</f>
        <v>0.6</v>
      </c>
    </row>
    <row r="1198" spans="1:6" x14ac:dyDescent="0.3">
      <c r="A1198" t="s">
        <v>369</v>
      </c>
      <c r="B1198" t="s">
        <v>132</v>
      </c>
      <c r="C1198">
        <v>7</v>
      </c>
      <c r="D1198">
        <v>2024</v>
      </c>
      <c r="E1198" cm="1">
        <f t="array" ref="E1198">_xlfn.XLOOKUP(Table2[[#This Row],[college]]&amp;Table2[[#This Row],[division]]&amp;Table2[[#This Row],[year]],
Teams[college]&amp;Teams[division]&amp;Teams[year],
Teams[placing], "NA")</f>
        <v>3</v>
      </c>
      <c r="F1198" s="1" cm="1">
        <f t="array" ref="F1198">_xlfn.XLOOKUP(Table2[[#This Row],[college]]&amp;Table2[[#This Row],[division]]&amp;Table2[[#This Row],[year]],
Teams[college]&amp;Teams[division]&amp;Teams[year],
Teams[finish], "NA")</f>
        <v>0.64166666666666672</v>
      </c>
    </row>
    <row r="1199" spans="1:6" x14ac:dyDescent="0.3">
      <c r="A1199" t="s">
        <v>514</v>
      </c>
      <c r="B1199" t="s">
        <v>123</v>
      </c>
      <c r="C1199">
        <v>6</v>
      </c>
      <c r="D1199">
        <v>2022</v>
      </c>
      <c r="E1199" cm="1">
        <f t="array" ref="E1199">_xlfn.XLOOKUP(Table2[[#This Row],[college]]&amp;Table2[[#This Row],[division]]&amp;Table2[[#This Row],[year]],
Teams[college]&amp;Teams[division]&amp;Teams[year],
Teams[placing], "NA")</f>
        <v>1</v>
      </c>
      <c r="F1199" s="1" cm="1">
        <f t="array" ref="F1199">_xlfn.XLOOKUP(Table2[[#This Row],[college]]&amp;Table2[[#This Row],[division]]&amp;Table2[[#This Row],[year]],
Teams[college]&amp;Teams[division]&amp;Teams[year],
Teams[finish], "NA")</f>
        <v>0.48958333333333337</v>
      </c>
    </row>
    <row r="1200" spans="1:6" x14ac:dyDescent="0.3">
      <c r="A1200" t="s">
        <v>514</v>
      </c>
      <c r="B1200" t="s">
        <v>123</v>
      </c>
      <c r="C1200">
        <v>7</v>
      </c>
      <c r="D1200">
        <v>2023</v>
      </c>
      <c r="E1200" cm="1">
        <f t="array" ref="E1200">_xlfn.XLOOKUP(Table2[[#This Row],[college]]&amp;Table2[[#This Row],[division]]&amp;Table2[[#This Row],[year]],
Teams[college]&amp;Teams[division]&amp;Teams[year],
Teams[placing], "NA")</f>
        <v>5</v>
      </c>
      <c r="F1200" s="1" cm="1">
        <f t="array" ref="F1200">_xlfn.XLOOKUP(Table2[[#This Row],[college]]&amp;Table2[[#This Row],[division]]&amp;Table2[[#This Row],[year]],
Teams[college]&amp;Teams[division]&amp;Teams[year],
Teams[finish], "NA")</f>
        <v>0.57777777777777772</v>
      </c>
    </row>
    <row r="1201" spans="1:6" x14ac:dyDescent="0.3">
      <c r="A1201" t="s">
        <v>219</v>
      </c>
      <c r="B1201" t="s">
        <v>123</v>
      </c>
      <c r="C1201">
        <v>4</v>
      </c>
      <c r="D1201">
        <v>2025</v>
      </c>
      <c r="E1201" t="str" cm="1">
        <f t="array" ref="E1201">_xlfn.XLOOKUP(Table2[[#This Row],[college]]&amp;Table2[[#This Row],[division]]&amp;Table2[[#This Row],[year]],
Teams[college]&amp;Teams[division]&amp;Teams[year],
Teams[placing], "NA")</f>
        <v>DNF</v>
      </c>
      <c r="F1201" s="1" t="str" cm="1">
        <f t="array" ref="F1201">_xlfn.XLOOKUP(Table2[[#This Row],[college]]&amp;Table2[[#This Row],[division]]&amp;Table2[[#This Row],[year]],
Teams[college]&amp;Teams[division]&amp;Teams[year],
Teams[finish], "NA")</f>
        <v>NA</v>
      </c>
    </row>
    <row r="1202" spans="1:6" x14ac:dyDescent="0.3">
      <c r="A1202" t="s">
        <v>219</v>
      </c>
      <c r="B1202" t="s">
        <v>123</v>
      </c>
      <c r="C1202">
        <v>5</v>
      </c>
      <c r="D1202">
        <v>2026</v>
      </c>
      <c r="E1202" cm="1">
        <f t="array" ref="E1202">_xlfn.XLOOKUP(Table2[[#This Row],[college]]&amp;Table2[[#This Row],[division]]&amp;Table2[[#This Row],[year]],
Teams[college]&amp;Teams[division]&amp;Teams[year],
Teams[placing], "NA")</f>
        <v>0</v>
      </c>
      <c r="F1202" s="1" cm="1">
        <f t="array" ref="F1202">_xlfn.XLOOKUP(Table2[[#This Row],[college]]&amp;Table2[[#This Row],[division]]&amp;Table2[[#This Row],[year]],
Teams[college]&amp;Teams[division]&amp;Teams[year],
Teams[finish], "NA")</f>
        <v>0</v>
      </c>
    </row>
    <row r="1203" spans="1:6" x14ac:dyDescent="0.3">
      <c r="A1203" t="s">
        <v>245</v>
      </c>
      <c r="B1203" t="s">
        <v>10</v>
      </c>
      <c r="C1203">
        <v>4</v>
      </c>
      <c r="D1203">
        <v>2025</v>
      </c>
      <c r="E1203" t="str" cm="1">
        <f t="array" ref="E1203">_xlfn.XLOOKUP(Table2[[#This Row],[college]]&amp;Table2[[#This Row],[division]]&amp;Table2[[#This Row],[year]],
Teams[college]&amp;Teams[division]&amp;Teams[year],
Teams[placing], "NA")</f>
        <v>DNF</v>
      </c>
      <c r="F1203" s="1" t="str" cm="1">
        <f t="array" ref="F1203">_xlfn.XLOOKUP(Table2[[#This Row],[college]]&amp;Table2[[#This Row],[division]]&amp;Table2[[#This Row],[year]],
Teams[college]&amp;Teams[division]&amp;Teams[year],
Teams[finish], "NA")</f>
        <v>NA</v>
      </c>
    </row>
    <row r="1204" spans="1:6" x14ac:dyDescent="0.3">
      <c r="A1204" t="s">
        <v>245</v>
      </c>
      <c r="B1204" t="s">
        <v>10</v>
      </c>
      <c r="C1204">
        <v>2</v>
      </c>
      <c r="D1204">
        <v>2026</v>
      </c>
      <c r="E1204" cm="1">
        <f t="array" ref="E1204">_xlfn.XLOOKUP(Table2[[#This Row],[college]]&amp;Table2[[#This Row],[division]]&amp;Table2[[#This Row],[year]],
Teams[college]&amp;Teams[division]&amp;Teams[year],
Teams[placing], "NA")</f>
        <v>0</v>
      </c>
      <c r="F1204" s="1" cm="1">
        <f t="array" ref="F1204">_xlfn.XLOOKUP(Table2[[#This Row],[college]]&amp;Table2[[#This Row],[division]]&amp;Table2[[#This Row],[year]],
Teams[college]&amp;Teams[division]&amp;Teams[year],
Teams[finish], "NA")</f>
        <v>0</v>
      </c>
    </row>
    <row r="1205" spans="1:6" x14ac:dyDescent="0.3">
      <c r="A1205" t="s">
        <v>210</v>
      </c>
      <c r="B1205" t="s">
        <v>137</v>
      </c>
      <c r="C1205">
        <v>4</v>
      </c>
      <c r="D1205">
        <v>2025</v>
      </c>
      <c r="E1205" cm="1">
        <f t="array" ref="E1205">_xlfn.XLOOKUP(Table2[[#This Row],[college]]&amp;Table2[[#This Row],[division]]&amp;Table2[[#This Row],[year]],
Teams[college]&amp;Teams[division]&amp;Teams[year],
Teams[placing], "NA")</f>
        <v>3</v>
      </c>
      <c r="F1205" s="1" cm="1">
        <f t="array" ref="F1205">_xlfn.XLOOKUP(Table2[[#This Row],[college]]&amp;Table2[[#This Row],[division]]&amp;Table2[[#This Row],[year]],
Teams[college]&amp;Teams[division]&amp;Teams[year],
Teams[finish], "NA")</f>
        <v>0.59236111111111112</v>
      </c>
    </row>
    <row r="1206" spans="1:6" x14ac:dyDescent="0.3">
      <c r="A1206" t="s">
        <v>210</v>
      </c>
      <c r="B1206" t="s">
        <v>137</v>
      </c>
      <c r="C1206">
        <v>6</v>
      </c>
      <c r="D1206">
        <v>2024</v>
      </c>
      <c r="E1206" cm="1">
        <f t="array" ref="E1206">_xlfn.XLOOKUP(Table2[[#This Row],[college]]&amp;Table2[[#This Row],[division]]&amp;Table2[[#This Row],[year]],
Teams[college]&amp;Teams[division]&amp;Teams[year],
Teams[placing], "NA")</f>
        <v>2</v>
      </c>
      <c r="F1206" s="1" cm="1">
        <f t="array" ref="F1206">_xlfn.XLOOKUP(Table2[[#This Row],[college]]&amp;Table2[[#This Row],[division]]&amp;Table2[[#This Row],[year]],
Teams[college]&amp;Teams[division]&amp;Teams[year],
Teams[finish], "NA")</f>
        <v>0.61111111111111116</v>
      </c>
    </row>
    <row r="1207" spans="1:6" x14ac:dyDescent="0.3">
      <c r="A1207" t="s">
        <v>306</v>
      </c>
      <c r="B1207" t="s">
        <v>241</v>
      </c>
      <c r="C1207">
        <v>5</v>
      </c>
      <c r="D1207">
        <v>2025</v>
      </c>
      <c r="E1207" cm="1">
        <f t="array" ref="E1207">_xlfn.XLOOKUP(Table2[[#This Row],[college]]&amp;Table2[[#This Row],[division]]&amp;Table2[[#This Row],[year]],
Teams[college]&amp;Teams[division]&amp;Teams[year],
Teams[placing], "NA")</f>
        <v>11</v>
      </c>
      <c r="F1207" s="1" cm="1">
        <f t="array" ref="F1207">_xlfn.XLOOKUP(Table2[[#This Row],[college]]&amp;Table2[[#This Row],[division]]&amp;Table2[[#This Row],[year]],
Teams[college]&amp;Teams[division]&amp;Teams[year],
Teams[finish], "NA")</f>
        <v>0.65</v>
      </c>
    </row>
    <row r="1208" spans="1:6" x14ac:dyDescent="0.3">
      <c r="A1208" t="s">
        <v>306</v>
      </c>
      <c r="B1208" t="s">
        <v>241</v>
      </c>
      <c r="C1208">
        <v>5</v>
      </c>
      <c r="D1208">
        <v>2024</v>
      </c>
      <c r="E1208" t="str" cm="1">
        <f t="array" ref="E1208">_xlfn.XLOOKUP(Table2[[#This Row],[college]]&amp;Table2[[#This Row],[division]]&amp;Table2[[#This Row],[year]],
Teams[college]&amp;Teams[division]&amp;Teams[year],
Teams[placing], "NA")</f>
        <v>DNF</v>
      </c>
      <c r="F1208" s="1" t="str" cm="1">
        <f t="array" ref="F1208">_xlfn.XLOOKUP(Table2[[#This Row],[college]]&amp;Table2[[#This Row],[division]]&amp;Table2[[#This Row],[year]],
Teams[college]&amp;Teams[division]&amp;Teams[year],
Teams[finish], "NA")</f>
        <v>NA</v>
      </c>
    </row>
    <row r="1209" spans="1:6" x14ac:dyDescent="0.3">
      <c r="A1209" t="s">
        <v>306</v>
      </c>
      <c r="B1209" t="s">
        <v>241</v>
      </c>
      <c r="C1209">
        <v>3</v>
      </c>
      <c r="D1209">
        <v>2026</v>
      </c>
      <c r="E1209" cm="1">
        <f t="array" ref="E1209">_xlfn.XLOOKUP(Table2[[#This Row],[college]]&amp;Table2[[#This Row],[division]]&amp;Table2[[#This Row],[year]],
Teams[college]&amp;Teams[division]&amp;Teams[year],
Teams[placing], "NA")</f>
        <v>0</v>
      </c>
      <c r="F1209" s="1" cm="1">
        <f t="array" ref="F1209">_xlfn.XLOOKUP(Table2[[#This Row],[college]]&amp;Table2[[#This Row],[division]]&amp;Table2[[#This Row],[year]],
Teams[college]&amp;Teams[division]&amp;Teams[year],
Teams[finish], "NA")</f>
        <v>0</v>
      </c>
    </row>
    <row r="1210" spans="1:6" x14ac:dyDescent="0.3">
      <c r="A1210" t="s">
        <v>529</v>
      </c>
      <c r="B1210" t="s">
        <v>15</v>
      </c>
      <c r="C1210">
        <v>1</v>
      </c>
      <c r="D1210">
        <v>2023</v>
      </c>
      <c r="E1210" cm="1">
        <f t="array" ref="E1210">_xlfn.XLOOKUP(Table2[[#This Row],[college]]&amp;Table2[[#This Row],[division]]&amp;Table2[[#This Row],[year]],
Teams[college]&amp;Teams[division]&amp;Teams[year],
Teams[placing], "NA")</f>
        <v>1</v>
      </c>
      <c r="F1210" s="1" cm="1">
        <f t="array" ref="F1210">_xlfn.XLOOKUP(Table2[[#This Row],[college]]&amp;Table2[[#This Row],[division]]&amp;Table2[[#This Row],[year]],
Teams[college]&amp;Teams[division]&amp;Teams[year],
Teams[finish], "NA")</f>
        <v>0.52569444444444446</v>
      </c>
    </row>
    <row r="1211" spans="1:6" x14ac:dyDescent="0.3">
      <c r="A1211" t="s">
        <v>472</v>
      </c>
      <c r="B1211" t="s">
        <v>123</v>
      </c>
      <c r="C1211">
        <v>7</v>
      </c>
      <c r="D1211">
        <v>2022</v>
      </c>
      <c r="E1211" cm="1">
        <f t="array" ref="E1211">_xlfn.XLOOKUP(Table2[[#This Row],[college]]&amp;Table2[[#This Row],[division]]&amp;Table2[[#This Row],[year]],
Teams[college]&amp;Teams[division]&amp;Teams[year],
Teams[placing], "NA")</f>
        <v>3</v>
      </c>
      <c r="F1211" s="1" cm="1">
        <f t="array" ref="F1211">_xlfn.XLOOKUP(Table2[[#This Row],[college]]&amp;Table2[[#This Row],[division]]&amp;Table2[[#This Row],[year]],
Teams[college]&amp;Teams[division]&amp;Teams[year],
Teams[finish], "NA")</f>
        <v>0.45763888888888893</v>
      </c>
    </row>
    <row r="1212" spans="1:6" x14ac:dyDescent="0.3">
      <c r="A1212" t="s">
        <v>472</v>
      </c>
      <c r="B1212" t="s">
        <v>241</v>
      </c>
      <c r="C1212">
        <v>7</v>
      </c>
      <c r="D1212">
        <v>2023</v>
      </c>
      <c r="E1212" cm="1">
        <f t="array" ref="E1212">_xlfn.XLOOKUP(Table2[[#This Row],[college]]&amp;Table2[[#This Row],[division]]&amp;Table2[[#This Row],[year]],
Teams[college]&amp;Teams[division]&amp;Teams[year],
Teams[placing], "NA")</f>
        <v>2</v>
      </c>
      <c r="F1212" s="1" cm="1">
        <f t="array" ref="F1212">_xlfn.XLOOKUP(Table2[[#This Row],[college]]&amp;Table2[[#This Row],[division]]&amp;Table2[[#This Row],[year]],
Teams[college]&amp;Teams[division]&amp;Teams[year],
Teams[finish], "NA")</f>
        <v>0.51597222222222228</v>
      </c>
    </row>
    <row r="1213" spans="1:6" x14ac:dyDescent="0.3">
      <c r="A1213" t="s">
        <v>472</v>
      </c>
      <c r="B1213" t="s">
        <v>241</v>
      </c>
      <c r="C1213">
        <v>3</v>
      </c>
      <c r="D1213">
        <v>2024</v>
      </c>
      <c r="E1213" cm="1">
        <f t="array" ref="E1213">_xlfn.XLOOKUP(Table2[[#This Row],[college]]&amp;Table2[[#This Row],[division]]&amp;Table2[[#This Row],[year]],
Teams[college]&amp;Teams[division]&amp;Teams[year],
Teams[placing], "NA")</f>
        <v>2</v>
      </c>
      <c r="F1213" s="1" cm="1">
        <f t="array" ref="F1213">_xlfn.XLOOKUP(Table2[[#This Row],[college]]&amp;Table2[[#This Row],[division]]&amp;Table2[[#This Row],[year]],
Teams[college]&amp;Teams[division]&amp;Teams[year],
Teams[finish], "NA")</f>
        <v>0.58402777777777781</v>
      </c>
    </row>
    <row r="1214" spans="1:6" x14ac:dyDescent="0.3">
      <c r="A1214" t="s">
        <v>45</v>
      </c>
      <c r="B1214" t="s">
        <v>15</v>
      </c>
      <c r="C1214">
        <v>4</v>
      </c>
      <c r="D1214">
        <v>2025</v>
      </c>
      <c r="E1214" cm="1">
        <f t="array" ref="E1214">_xlfn.XLOOKUP(Table2[[#This Row],[college]]&amp;Table2[[#This Row],[division]]&amp;Table2[[#This Row],[year]],
Teams[college]&amp;Teams[division]&amp;Teams[year],
Teams[placing], "NA")</f>
        <v>1</v>
      </c>
      <c r="F1214" s="1" cm="1">
        <f t="array" ref="F1214">_xlfn.XLOOKUP(Table2[[#This Row],[college]]&amp;Table2[[#This Row],[division]]&amp;Table2[[#This Row],[year]],
Teams[college]&amp;Teams[division]&amp;Teams[year],
Teams[finish], "NA")</f>
        <v>0.51458333333333328</v>
      </c>
    </row>
    <row r="1215" spans="1:6" x14ac:dyDescent="0.3">
      <c r="A1215" t="s">
        <v>365</v>
      </c>
      <c r="B1215" t="s">
        <v>5</v>
      </c>
      <c r="C1215">
        <v>6</v>
      </c>
      <c r="D1215">
        <v>2024</v>
      </c>
      <c r="E1215" cm="1">
        <f t="array" ref="E1215">_xlfn.XLOOKUP(Table2[[#This Row],[college]]&amp;Table2[[#This Row],[division]]&amp;Table2[[#This Row],[year]],
Teams[college]&amp;Teams[division]&amp;Teams[year],
Teams[placing], "NA")</f>
        <v>1</v>
      </c>
      <c r="F1215" s="1" cm="1">
        <f t="array" ref="F1215">_xlfn.XLOOKUP(Table2[[#This Row],[college]]&amp;Table2[[#This Row],[division]]&amp;Table2[[#This Row],[year]],
Teams[college]&amp;Teams[division]&amp;Teams[year],
Teams[finish], "NA")</f>
        <v>0.59722222222222221</v>
      </c>
    </row>
    <row r="1216" spans="1:6" x14ac:dyDescent="0.3">
      <c r="A1216" t="s">
        <v>580</v>
      </c>
      <c r="B1216" t="s">
        <v>250</v>
      </c>
      <c r="C1216">
        <v>4</v>
      </c>
      <c r="D1216">
        <v>2023</v>
      </c>
      <c r="E1216" t="str" cm="1">
        <f t="array" ref="E1216">_xlfn.XLOOKUP(Table2[[#This Row],[college]]&amp;Table2[[#This Row],[division]]&amp;Table2[[#This Row],[year]],
Teams[college]&amp;Teams[division]&amp;Teams[year],
Teams[placing], "NA")</f>
        <v>DNF</v>
      </c>
      <c r="F1216" s="1" t="str" cm="1">
        <f t="array" ref="F1216">_xlfn.XLOOKUP(Table2[[#This Row],[college]]&amp;Table2[[#This Row],[division]]&amp;Table2[[#This Row],[year]],
Teams[college]&amp;Teams[division]&amp;Teams[year],
Teams[finish], "NA")</f>
        <v>NA</v>
      </c>
    </row>
    <row r="1217" spans="1:6" x14ac:dyDescent="0.3">
      <c r="A1217" t="s">
        <v>101</v>
      </c>
      <c r="B1217" t="s">
        <v>754</v>
      </c>
      <c r="C1217">
        <v>2</v>
      </c>
      <c r="D1217">
        <v>2025</v>
      </c>
      <c r="E1217" t="str" cm="1">
        <f t="array" ref="E1217">_xlfn.XLOOKUP(Table2[[#This Row],[college]]&amp;Table2[[#This Row],[division]]&amp;Table2[[#This Row],[year]],
Teams[college]&amp;Teams[division]&amp;Teams[year],
Teams[placing], "NA")</f>
        <v>NA</v>
      </c>
      <c r="F1217" s="1" cm="1">
        <f t="array" ref="F1217">_xlfn.XLOOKUP(Table2[[#This Row],[college]]&amp;Table2[[#This Row],[division]]&amp;Table2[[#This Row],[year]],
Teams[college]&amp;Teams[division]&amp;Teams[year],
Teams[finish], "NA")</f>
        <v>0.4861111111111111</v>
      </c>
    </row>
    <row r="1218" spans="1:6" x14ac:dyDescent="0.3">
      <c r="A1218" t="s">
        <v>101</v>
      </c>
      <c r="B1218" t="s">
        <v>754</v>
      </c>
      <c r="C1218">
        <v>2</v>
      </c>
      <c r="D1218">
        <v>2024</v>
      </c>
      <c r="E1218" t="str" cm="1">
        <f t="array" ref="E1218">_xlfn.XLOOKUP(Table2[[#This Row],[college]]&amp;Table2[[#This Row],[division]]&amp;Table2[[#This Row],[year]],
Teams[college]&amp;Teams[division]&amp;Teams[year],
Teams[placing], "NA")</f>
        <v>NA</v>
      </c>
      <c r="F1218" s="1" cm="1">
        <f t="array" ref="F1218">_xlfn.XLOOKUP(Table2[[#This Row],[college]]&amp;Table2[[#This Row],[division]]&amp;Table2[[#This Row],[year]],
Teams[college]&amp;Teams[division]&amp;Teams[year],
Teams[finish], "NA")</f>
        <v>0.55555555555555558</v>
      </c>
    </row>
    <row r="1219" spans="1:6" x14ac:dyDescent="0.3">
      <c r="A1219" t="s">
        <v>932</v>
      </c>
      <c r="B1219" t="s">
        <v>10</v>
      </c>
      <c r="C1219">
        <v>6</v>
      </c>
      <c r="D1219">
        <v>2026</v>
      </c>
      <c r="E1219" cm="1">
        <f t="array" ref="E1219">_xlfn.XLOOKUP(Table2[[#This Row],[college]]&amp;Table2[[#This Row],[division]]&amp;Table2[[#This Row],[year]],
Teams[college]&amp;Teams[division]&amp;Teams[year],
Teams[placing], "NA")</f>
        <v>0</v>
      </c>
      <c r="F1219" s="1" cm="1">
        <f t="array" ref="F1219">_xlfn.XLOOKUP(Table2[[#This Row],[college]]&amp;Table2[[#This Row],[division]]&amp;Table2[[#This Row],[year]],
Teams[college]&amp;Teams[division]&amp;Teams[year],
Teams[finish], "NA")</f>
        <v>0</v>
      </c>
    </row>
    <row r="1220" spans="1:6" x14ac:dyDescent="0.3">
      <c r="A1220" t="s">
        <v>896</v>
      </c>
      <c r="B1220" t="s">
        <v>48</v>
      </c>
      <c r="C1220">
        <v>5</v>
      </c>
      <c r="D1220">
        <v>2026</v>
      </c>
      <c r="E1220" cm="1">
        <f t="array" ref="E1220">_xlfn.XLOOKUP(Table2[[#This Row],[college]]&amp;Table2[[#This Row],[division]]&amp;Table2[[#This Row],[year]],
Teams[college]&amp;Teams[division]&amp;Teams[year],
Teams[placing], "NA")</f>
        <v>0</v>
      </c>
      <c r="F1220" s="1" cm="1">
        <f t="array" ref="F1220">_xlfn.XLOOKUP(Table2[[#This Row],[college]]&amp;Table2[[#This Row],[division]]&amp;Table2[[#This Row],[year]],
Teams[college]&amp;Teams[division]&amp;Teams[year],
Teams[finish], "NA")</f>
        <v>0</v>
      </c>
    </row>
    <row r="1221" spans="1:6" x14ac:dyDescent="0.3">
      <c r="A1221" t="s">
        <v>977</v>
      </c>
      <c r="B1221" t="s">
        <v>15</v>
      </c>
      <c r="C1221">
        <v>7</v>
      </c>
      <c r="D1221">
        <v>2026</v>
      </c>
      <c r="E1221" cm="1">
        <f t="array" ref="E1221">_xlfn.XLOOKUP(Table2[[#This Row],[college]]&amp;Table2[[#This Row],[division]]&amp;Table2[[#This Row],[year]],
Teams[college]&amp;Teams[division]&amp;Teams[year],
Teams[placing], "NA")</f>
        <v>0</v>
      </c>
      <c r="F1221" s="1" cm="1">
        <f t="array" ref="F1221">_xlfn.XLOOKUP(Table2[[#This Row],[college]]&amp;Table2[[#This Row],[division]]&amp;Table2[[#This Row],[year]],
Teams[college]&amp;Teams[division]&amp;Teams[year],
Teams[finish], "NA")</f>
        <v>0</v>
      </c>
    </row>
    <row r="1222" spans="1:6" x14ac:dyDescent="0.3">
      <c r="A1222" t="s">
        <v>790</v>
      </c>
      <c r="B1222" t="s">
        <v>250</v>
      </c>
      <c r="C1222">
        <v>1</v>
      </c>
      <c r="D1222">
        <v>2026</v>
      </c>
      <c r="E1222" cm="1">
        <f t="array" ref="E1222">_xlfn.XLOOKUP(Table2[[#This Row],[college]]&amp;Table2[[#This Row],[division]]&amp;Table2[[#This Row],[year]],
Teams[college]&amp;Teams[division]&amp;Teams[year],
Teams[placing], "NA")</f>
        <v>0</v>
      </c>
      <c r="F1222" s="1" cm="1">
        <f t="array" ref="F1222">_xlfn.XLOOKUP(Table2[[#This Row],[college]]&amp;Table2[[#This Row],[division]]&amp;Table2[[#This Row],[year]],
Teams[college]&amp;Teams[division]&amp;Teams[year],
Teams[finish], "NA")</f>
        <v>0</v>
      </c>
    </row>
    <row r="1223" spans="1:6" x14ac:dyDescent="0.3">
      <c r="A1223" t="s">
        <v>421</v>
      </c>
      <c r="B1223" t="s">
        <v>266</v>
      </c>
      <c r="C1223">
        <v>7</v>
      </c>
      <c r="D1223">
        <v>2024</v>
      </c>
      <c r="E1223" t="str" cm="1">
        <f t="array" ref="E1223">_xlfn.XLOOKUP(Table2[[#This Row],[college]]&amp;Table2[[#This Row],[division]]&amp;Table2[[#This Row],[year]],
Teams[college]&amp;Teams[division]&amp;Teams[year],
Teams[placing], "NA")</f>
        <v>DNF</v>
      </c>
      <c r="F1223" s="1" t="str" cm="1">
        <f t="array" ref="F1223">_xlfn.XLOOKUP(Table2[[#This Row],[college]]&amp;Table2[[#This Row],[division]]&amp;Table2[[#This Row],[year]],
Teams[college]&amp;Teams[division]&amp;Teams[year],
Teams[finish], "NA")</f>
        <v>NA</v>
      </c>
    </row>
    <row r="1224" spans="1:6" x14ac:dyDescent="0.3">
      <c r="A1224" t="s">
        <v>674</v>
      </c>
      <c r="B1224" t="s">
        <v>15</v>
      </c>
      <c r="C1224">
        <v>2</v>
      </c>
      <c r="D1224">
        <v>2022</v>
      </c>
      <c r="E1224" cm="1">
        <f t="array" ref="E1224">_xlfn.XLOOKUP(Table2[[#This Row],[college]]&amp;Table2[[#This Row],[division]]&amp;Table2[[#This Row],[year]],
Teams[college]&amp;Teams[division]&amp;Teams[year],
Teams[placing], "NA")</f>
        <v>2</v>
      </c>
      <c r="F1224" s="1" cm="1">
        <f t="array" ref="F1224">_xlfn.XLOOKUP(Table2[[#This Row],[college]]&amp;Table2[[#This Row],[division]]&amp;Table2[[#This Row],[year]],
Teams[college]&amp;Teams[division]&amp;Teams[year],
Teams[finish], "NA")</f>
        <v>0.67083333333333328</v>
      </c>
    </row>
    <row r="1225" spans="1:6" x14ac:dyDescent="0.3">
      <c r="A1225" t="s">
        <v>420</v>
      </c>
      <c r="B1225" t="s">
        <v>266</v>
      </c>
      <c r="C1225">
        <v>7</v>
      </c>
      <c r="D1225">
        <v>2024</v>
      </c>
      <c r="E1225" t="str" cm="1">
        <f t="array" ref="E1225">_xlfn.XLOOKUP(Table2[[#This Row],[college]]&amp;Table2[[#This Row],[division]]&amp;Table2[[#This Row],[year]],
Teams[college]&amp;Teams[division]&amp;Teams[year],
Teams[placing], "NA")</f>
        <v>DNF</v>
      </c>
      <c r="F1225" s="1" t="str" cm="1">
        <f t="array" ref="F1225">_xlfn.XLOOKUP(Table2[[#This Row],[college]]&amp;Table2[[#This Row],[division]]&amp;Table2[[#This Row],[year]],
Teams[college]&amp;Teams[division]&amp;Teams[year],
Teams[finish], "NA")</f>
        <v>NA</v>
      </c>
    </row>
    <row r="1226" spans="1:6" x14ac:dyDescent="0.3">
      <c r="A1226" t="s">
        <v>648</v>
      </c>
      <c r="B1226" t="s">
        <v>250</v>
      </c>
      <c r="C1226">
        <v>2</v>
      </c>
      <c r="D1226">
        <v>2023</v>
      </c>
      <c r="E1226" t="str" cm="1">
        <f t="array" ref="E1226">_xlfn.XLOOKUP(Table2[[#This Row],[college]]&amp;Table2[[#This Row],[division]]&amp;Table2[[#This Row],[year]],
Teams[college]&amp;Teams[division]&amp;Teams[year],
Teams[placing], "NA")</f>
        <v>DNF</v>
      </c>
      <c r="F1226" s="1" t="str" cm="1">
        <f t="array" ref="F1226">_xlfn.XLOOKUP(Table2[[#This Row],[college]]&amp;Table2[[#This Row],[division]]&amp;Table2[[#This Row],[year]],
Teams[college]&amp;Teams[division]&amp;Teams[year],
Teams[finish], "NA")</f>
        <v>NA</v>
      </c>
    </row>
    <row r="1227" spans="1:6" x14ac:dyDescent="0.3">
      <c r="A1227" t="s">
        <v>539</v>
      </c>
      <c r="B1227" t="s">
        <v>5</v>
      </c>
      <c r="C1227">
        <v>7</v>
      </c>
      <c r="D1227">
        <v>2022</v>
      </c>
      <c r="E1227" cm="1">
        <f t="array" ref="E1227">_xlfn.XLOOKUP(Table2[[#This Row],[college]]&amp;Table2[[#This Row],[division]]&amp;Table2[[#This Row],[year]],
Teams[college]&amp;Teams[division]&amp;Teams[year],
Teams[placing], "NA")</f>
        <v>9</v>
      </c>
      <c r="F1227" s="1" cm="1">
        <f t="array" ref="F1227">_xlfn.XLOOKUP(Table2[[#This Row],[college]]&amp;Table2[[#This Row],[division]]&amp;Table2[[#This Row],[year]],
Teams[college]&amp;Teams[division]&amp;Teams[year],
Teams[finish], "NA")</f>
        <v>0.56805555555555554</v>
      </c>
    </row>
    <row r="1228" spans="1:6" x14ac:dyDescent="0.3">
      <c r="A1228" t="s">
        <v>539</v>
      </c>
      <c r="B1228" t="s">
        <v>5</v>
      </c>
      <c r="C1228">
        <v>6</v>
      </c>
      <c r="D1228">
        <v>2023</v>
      </c>
      <c r="E1228" cm="1">
        <f t="array" ref="E1228">_xlfn.XLOOKUP(Table2[[#This Row],[college]]&amp;Table2[[#This Row],[division]]&amp;Table2[[#This Row],[year]],
Teams[college]&amp;Teams[division]&amp;Teams[year],
Teams[placing], "NA")</f>
        <v>8</v>
      </c>
      <c r="F1228" s="1" cm="1">
        <f t="array" ref="F1228">_xlfn.XLOOKUP(Table2[[#This Row],[college]]&amp;Table2[[#This Row],[division]]&amp;Table2[[#This Row],[year]],
Teams[college]&amp;Teams[division]&amp;Teams[year],
Teams[finish], "NA")</f>
        <v>0.67222222222222228</v>
      </c>
    </row>
    <row r="1229" spans="1:6" x14ac:dyDescent="0.3">
      <c r="A1229" t="s">
        <v>719</v>
      </c>
      <c r="B1229" t="s">
        <v>15</v>
      </c>
      <c r="C1229">
        <v>3</v>
      </c>
      <c r="D1229">
        <v>2022</v>
      </c>
      <c r="E1229" cm="1">
        <f t="array" ref="E1229">_xlfn.XLOOKUP(Table2[[#This Row],[college]]&amp;Table2[[#This Row],[division]]&amp;Table2[[#This Row],[year]],
Teams[college]&amp;Teams[division]&amp;Teams[year],
Teams[placing], "NA")</f>
        <v>2</v>
      </c>
      <c r="F1229" s="1" cm="1">
        <f t="array" ref="F1229">_xlfn.XLOOKUP(Table2[[#This Row],[college]]&amp;Table2[[#This Row],[division]]&amp;Table2[[#This Row],[year]],
Teams[college]&amp;Teams[division]&amp;Teams[year],
Teams[finish], "NA")</f>
        <v>0.41458333333333336</v>
      </c>
    </row>
    <row r="1230" spans="1:6" x14ac:dyDescent="0.3">
      <c r="A1230" t="s">
        <v>122</v>
      </c>
      <c r="B1230" t="s">
        <v>5</v>
      </c>
      <c r="C1230">
        <v>7</v>
      </c>
      <c r="D1230">
        <v>2025</v>
      </c>
      <c r="E1230" cm="1">
        <f t="array" ref="E1230">_xlfn.XLOOKUP(Table2[[#This Row],[college]]&amp;Table2[[#This Row],[division]]&amp;Table2[[#This Row],[year]],
Teams[college]&amp;Teams[division]&amp;Teams[year],
Teams[placing], "NA")</f>
        <v>7</v>
      </c>
      <c r="F1230" s="1" cm="1">
        <f t="array" ref="F1230">_xlfn.XLOOKUP(Table2[[#This Row],[college]]&amp;Table2[[#This Row],[division]]&amp;Table2[[#This Row],[year]],
Teams[college]&amp;Teams[division]&amp;Teams[year],
Teams[finish], "NA")</f>
        <v>0.51944444444444449</v>
      </c>
    </row>
    <row r="1231" spans="1:6" x14ac:dyDescent="0.3">
      <c r="A1231" t="s">
        <v>468</v>
      </c>
      <c r="B1231" t="s">
        <v>19</v>
      </c>
      <c r="C1231">
        <v>6</v>
      </c>
      <c r="D1231">
        <v>2022</v>
      </c>
      <c r="E1231" cm="1">
        <f t="array" ref="E1231">_xlfn.XLOOKUP(Table2[[#This Row],[college]]&amp;Table2[[#This Row],[division]]&amp;Table2[[#This Row],[year]],
Teams[college]&amp;Teams[division]&amp;Teams[year],
Teams[placing], "NA")</f>
        <v>2</v>
      </c>
      <c r="F1231" s="1" cm="1">
        <f t="array" ref="F1231">_xlfn.XLOOKUP(Table2[[#This Row],[college]]&amp;Table2[[#This Row],[division]]&amp;Table2[[#This Row],[year]],
Teams[college]&amp;Teams[division]&amp;Teams[year],
Teams[finish], "NA")</f>
        <v>0.49027777777777781</v>
      </c>
    </row>
    <row r="1232" spans="1:6" x14ac:dyDescent="0.3">
      <c r="A1232" t="s">
        <v>468</v>
      </c>
      <c r="B1232" t="s">
        <v>19</v>
      </c>
      <c r="C1232">
        <v>5</v>
      </c>
      <c r="D1232">
        <v>2023</v>
      </c>
      <c r="E1232" cm="1">
        <f t="array" ref="E1232">_xlfn.XLOOKUP(Table2[[#This Row],[college]]&amp;Table2[[#This Row],[division]]&amp;Table2[[#This Row],[year]],
Teams[college]&amp;Teams[division]&amp;Teams[year],
Teams[placing], "NA")</f>
        <v>1</v>
      </c>
      <c r="F1232" s="1" cm="1">
        <f t="array" ref="F1232">_xlfn.XLOOKUP(Table2[[#This Row],[college]]&amp;Table2[[#This Row],[division]]&amp;Table2[[#This Row],[year]],
Teams[college]&amp;Teams[division]&amp;Teams[year],
Teams[finish], "NA")</f>
        <v>0.55625000000000002</v>
      </c>
    </row>
    <row r="1233" spans="1:6" x14ac:dyDescent="0.3">
      <c r="A1233" t="s">
        <v>468</v>
      </c>
      <c r="B1233" t="s">
        <v>19</v>
      </c>
      <c r="C1233">
        <v>3</v>
      </c>
      <c r="D1233">
        <v>2024</v>
      </c>
      <c r="E1233" cm="1">
        <f t="array" ref="E1233">_xlfn.XLOOKUP(Table2[[#This Row],[college]]&amp;Table2[[#This Row],[division]]&amp;Table2[[#This Row],[year]],
Teams[college]&amp;Teams[division]&amp;Teams[year],
Teams[placing], "NA")</f>
        <v>5</v>
      </c>
      <c r="F1233" s="1" cm="1">
        <f t="array" ref="F1233">_xlfn.XLOOKUP(Table2[[#This Row],[college]]&amp;Table2[[#This Row],[division]]&amp;Table2[[#This Row],[year]],
Teams[college]&amp;Teams[division]&amp;Teams[year],
Teams[finish], "NA")</f>
        <v>0.70138888888888884</v>
      </c>
    </row>
    <row r="1234" spans="1:6" x14ac:dyDescent="0.3">
      <c r="A1234" t="s">
        <v>647</v>
      </c>
      <c r="B1234" t="s">
        <v>754</v>
      </c>
      <c r="C1234">
        <v>5</v>
      </c>
      <c r="D1234">
        <v>2023</v>
      </c>
      <c r="E1234" t="str" cm="1">
        <f t="array" ref="E1234">_xlfn.XLOOKUP(Table2[[#This Row],[college]]&amp;Table2[[#This Row],[division]]&amp;Table2[[#This Row],[year]],
Teams[college]&amp;Teams[division]&amp;Teams[year],
Teams[placing], "NA")</f>
        <v>NA</v>
      </c>
      <c r="F1234" s="1" cm="1">
        <f t="array" ref="F1234">_xlfn.XLOOKUP(Table2[[#This Row],[college]]&amp;Table2[[#This Row],[division]]&amp;Table2[[#This Row],[year]],
Teams[college]&amp;Teams[division]&amp;Teams[year],
Teams[finish], "NA")</f>
        <v>0.61111111111111116</v>
      </c>
    </row>
    <row r="1235" spans="1:6" x14ac:dyDescent="0.3">
      <c r="A1235" t="s">
        <v>647</v>
      </c>
      <c r="B1235" t="s">
        <v>10</v>
      </c>
      <c r="C1235">
        <v>4</v>
      </c>
      <c r="D1235">
        <v>2022</v>
      </c>
      <c r="E1235" t="str" cm="1">
        <f t="array" ref="E1235">_xlfn.XLOOKUP(Table2[[#This Row],[college]]&amp;Table2[[#This Row],[division]]&amp;Table2[[#This Row],[year]],
Teams[college]&amp;Teams[division]&amp;Teams[year],
Teams[placing], "NA")</f>
        <v>DQ</v>
      </c>
      <c r="F1235" s="1" t="str" cm="1">
        <f t="array" ref="F1235">_xlfn.XLOOKUP(Table2[[#This Row],[college]]&amp;Table2[[#This Row],[division]]&amp;Table2[[#This Row],[year]],
Teams[college]&amp;Teams[division]&amp;Teams[year],
Teams[finish], "NA")</f>
        <v>NA</v>
      </c>
    </row>
    <row r="1236" spans="1:6" x14ac:dyDescent="0.3">
      <c r="A1236" t="s">
        <v>442</v>
      </c>
      <c r="B1236" t="s">
        <v>250</v>
      </c>
      <c r="C1236">
        <v>5</v>
      </c>
      <c r="D1236">
        <v>2022</v>
      </c>
      <c r="E1236" cm="1">
        <f t="array" ref="E1236">_xlfn.XLOOKUP(Table2[[#This Row],[college]]&amp;Table2[[#This Row],[division]]&amp;Table2[[#This Row],[year]],
Teams[college]&amp;Teams[division]&amp;Teams[year],
Teams[placing], "NA")</f>
        <v>4</v>
      </c>
      <c r="F1236" s="1" cm="1">
        <f t="array" ref="F1236">_xlfn.XLOOKUP(Table2[[#This Row],[college]]&amp;Table2[[#This Row],[division]]&amp;Table2[[#This Row],[year]],
Teams[college]&amp;Teams[division]&amp;Teams[year],
Teams[finish], "NA")</f>
        <v>0.52847222222222223</v>
      </c>
    </row>
    <row r="1237" spans="1:6" x14ac:dyDescent="0.3">
      <c r="A1237" t="s">
        <v>442</v>
      </c>
      <c r="B1237" t="s">
        <v>250</v>
      </c>
      <c r="C1237">
        <v>3</v>
      </c>
      <c r="D1237">
        <v>2023</v>
      </c>
      <c r="E1237" cm="1">
        <f t="array" ref="E1237">_xlfn.XLOOKUP(Table2[[#This Row],[college]]&amp;Table2[[#This Row],[division]]&amp;Table2[[#This Row],[year]],
Teams[college]&amp;Teams[division]&amp;Teams[year],
Teams[placing], "NA")</f>
        <v>2</v>
      </c>
      <c r="F1237" s="1" cm="1">
        <f t="array" ref="F1237">_xlfn.XLOOKUP(Table2[[#This Row],[college]]&amp;Table2[[#This Row],[division]]&amp;Table2[[#This Row],[year]],
Teams[college]&amp;Teams[division]&amp;Teams[year],
Teams[finish], "NA")</f>
        <v>0.59375</v>
      </c>
    </row>
    <row r="1238" spans="1:6" x14ac:dyDescent="0.3">
      <c r="A1238" t="s">
        <v>442</v>
      </c>
      <c r="B1238" t="s">
        <v>250</v>
      </c>
      <c r="C1238">
        <v>5</v>
      </c>
      <c r="D1238">
        <v>2024</v>
      </c>
      <c r="E1238" cm="1">
        <f t="array" ref="E1238">_xlfn.XLOOKUP(Table2[[#This Row],[college]]&amp;Table2[[#This Row],[division]]&amp;Table2[[#This Row],[year]],
Teams[college]&amp;Teams[division]&amp;Teams[year],
Teams[placing], "NA")</f>
        <v>7</v>
      </c>
      <c r="F1238" s="1" cm="1">
        <f t="array" ref="F1238">_xlfn.XLOOKUP(Table2[[#This Row],[college]]&amp;Table2[[#This Row],[division]]&amp;Table2[[#This Row],[year]],
Teams[college]&amp;Teams[division]&amp;Teams[year],
Teams[finish], "NA")</f>
        <v>0.63194444444444442</v>
      </c>
    </row>
    <row r="1239" spans="1:6" x14ac:dyDescent="0.3">
      <c r="A1239" t="s">
        <v>355</v>
      </c>
      <c r="B1239" t="s">
        <v>5</v>
      </c>
      <c r="C1239">
        <v>4</v>
      </c>
      <c r="D1239">
        <v>2023</v>
      </c>
      <c r="E1239" cm="1">
        <f t="array" ref="E1239">_xlfn.XLOOKUP(Table2[[#This Row],[college]]&amp;Table2[[#This Row],[division]]&amp;Table2[[#This Row],[year]],
Teams[college]&amp;Teams[division]&amp;Teams[year],
Teams[placing], "NA")</f>
        <v>4</v>
      </c>
      <c r="F1239" s="1" cm="1">
        <f t="array" ref="F1239">_xlfn.XLOOKUP(Table2[[#This Row],[college]]&amp;Table2[[#This Row],[division]]&amp;Table2[[#This Row],[year]],
Teams[college]&amp;Teams[division]&amp;Teams[year],
Teams[finish], "NA")</f>
        <v>0.57708333333333328</v>
      </c>
    </row>
    <row r="1240" spans="1:6" x14ac:dyDescent="0.3">
      <c r="A1240" t="s">
        <v>221</v>
      </c>
      <c r="B1240" t="s">
        <v>5</v>
      </c>
      <c r="C1240">
        <v>3</v>
      </c>
      <c r="D1240">
        <v>2025</v>
      </c>
      <c r="E1240" cm="1">
        <f t="array" ref="E1240">_xlfn.XLOOKUP(Table2[[#This Row],[college]]&amp;Table2[[#This Row],[division]]&amp;Table2[[#This Row],[year]],
Teams[college]&amp;Teams[division]&amp;Teams[year],
Teams[placing], "NA")</f>
        <v>3</v>
      </c>
      <c r="F1240" s="1" cm="1">
        <f t="array" ref="F1240">_xlfn.XLOOKUP(Table2[[#This Row],[college]]&amp;Table2[[#This Row],[division]]&amp;Table2[[#This Row],[year]],
Teams[college]&amp;Teams[division]&amp;Teams[year],
Teams[finish], "NA")</f>
        <v>0.52708333333333335</v>
      </c>
    </row>
    <row r="1241" spans="1:6" x14ac:dyDescent="0.3">
      <c r="A1241" t="s">
        <v>221</v>
      </c>
      <c r="B1241" t="s">
        <v>5</v>
      </c>
      <c r="C1241">
        <v>2</v>
      </c>
      <c r="D1241">
        <v>2026</v>
      </c>
      <c r="E1241" cm="1">
        <f t="array" ref="E1241">_xlfn.XLOOKUP(Table2[[#This Row],[college]]&amp;Table2[[#This Row],[division]]&amp;Table2[[#This Row],[year]],
Teams[college]&amp;Teams[division]&amp;Teams[year],
Teams[placing], "NA")</f>
        <v>0</v>
      </c>
      <c r="F1241" s="1" cm="1">
        <f t="array" ref="F1241">_xlfn.XLOOKUP(Table2[[#This Row],[college]]&amp;Table2[[#This Row],[division]]&amp;Table2[[#This Row],[year]],
Teams[college]&amp;Teams[division]&amp;Teams[year],
Teams[finish], "NA")</f>
        <v>0</v>
      </c>
    </row>
    <row r="1242" spans="1:6" x14ac:dyDescent="0.3">
      <c r="A1242" t="s">
        <v>79</v>
      </c>
      <c r="B1242" t="s">
        <v>10</v>
      </c>
      <c r="C1242">
        <v>3</v>
      </c>
      <c r="D1242">
        <v>2025</v>
      </c>
      <c r="E1242" t="str" cm="1">
        <f t="array" ref="E1242">_xlfn.XLOOKUP(Table2[[#This Row],[college]]&amp;Table2[[#This Row],[division]]&amp;Table2[[#This Row],[year]],
Teams[college]&amp;Teams[division]&amp;Teams[year],
Teams[placing], "NA")</f>
        <v>DNF</v>
      </c>
      <c r="F1242" s="1" t="str" cm="1">
        <f t="array" ref="F1242">_xlfn.XLOOKUP(Table2[[#This Row],[college]]&amp;Table2[[#This Row],[division]]&amp;Table2[[#This Row],[year]],
Teams[college]&amp;Teams[division]&amp;Teams[year],
Teams[finish], "NA")</f>
        <v>NA</v>
      </c>
    </row>
    <row r="1243" spans="1:6" x14ac:dyDescent="0.3">
      <c r="A1243" t="s">
        <v>871</v>
      </c>
      <c r="B1243" t="s">
        <v>15</v>
      </c>
      <c r="C1243">
        <v>4</v>
      </c>
      <c r="D1243">
        <v>2026</v>
      </c>
      <c r="E1243" cm="1">
        <f t="array" ref="E1243">_xlfn.XLOOKUP(Table2[[#This Row],[college]]&amp;Table2[[#This Row],[division]]&amp;Table2[[#This Row],[year]],
Teams[college]&amp;Teams[division]&amp;Teams[year],
Teams[placing], "NA")</f>
        <v>0</v>
      </c>
      <c r="F1243" s="1" cm="1">
        <f t="array" ref="F1243">_xlfn.XLOOKUP(Table2[[#This Row],[college]]&amp;Table2[[#This Row],[division]]&amp;Table2[[#This Row],[year]],
Teams[college]&amp;Teams[division]&amp;Teams[year],
Teams[finish], "NA")</f>
        <v>0</v>
      </c>
    </row>
    <row r="1244" spans="1:6" x14ac:dyDescent="0.3">
      <c r="A1244" t="s">
        <v>285</v>
      </c>
      <c r="B1244" t="s">
        <v>266</v>
      </c>
      <c r="C1244">
        <v>5</v>
      </c>
      <c r="D1244">
        <v>2025</v>
      </c>
      <c r="E1244" cm="1">
        <f t="array" ref="E1244">_xlfn.XLOOKUP(Table2[[#This Row],[college]]&amp;Table2[[#This Row],[division]]&amp;Table2[[#This Row],[year]],
Teams[college]&amp;Teams[division]&amp;Teams[year],
Teams[placing], "NA")</f>
        <v>10</v>
      </c>
      <c r="F1244" s="1" cm="1">
        <f t="array" ref="F1244">_xlfn.XLOOKUP(Table2[[#This Row],[college]]&amp;Table2[[#This Row],[division]]&amp;Table2[[#This Row],[year]],
Teams[college]&amp;Teams[division]&amp;Teams[year],
Teams[finish], "NA")</f>
        <v>0.63680555555555551</v>
      </c>
    </row>
    <row r="1245" spans="1:6" x14ac:dyDescent="0.3">
      <c r="A1245" t="s">
        <v>865</v>
      </c>
      <c r="B1245" t="s">
        <v>132</v>
      </c>
      <c r="C1245">
        <v>4</v>
      </c>
      <c r="D1245">
        <v>2026</v>
      </c>
      <c r="E1245" cm="1">
        <f t="array" ref="E1245">_xlfn.XLOOKUP(Table2[[#This Row],[college]]&amp;Table2[[#This Row],[division]]&amp;Table2[[#This Row],[year]],
Teams[college]&amp;Teams[division]&amp;Teams[year],
Teams[placing], "NA")</f>
        <v>0</v>
      </c>
      <c r="F1245" s="1" cm="1">
        <f t="array" ref="F1245">_xlfn.XLOOKUP(Table2[[#This Row],[college]]&amp;Table2[[#This Row],[division]]&amp;Table2[[#This Row],[year]],
Teams[college]&amp;Teams[division]&amp;Teams[year],
Teams[finish], "NA")</f>
        <v>0</v>
      </c>
    </row>
    <row r="1246" spans="1:6" x14ac:dyDescent="0.3">
      <c r="A1246" t="s">
        <v>919</v>
      </c>
      <c r="B1246" t="s">
        <v>787</v>
      </c>
      <c r="C1246">
        <v>6</v>
      </c>
      <c r="D1246">
        <v>2026</v>
      </c>
      <c r="E1246" t="str" cm="1">
        <f t="array" ref="E1246">_xlfn.XLOOKUP(Table2[[#This Row],[college]]&amp;Table2[[#This Row],[division]]&amp;Table2[[#This Row],[year]],
Teams[college]&amp;Teams[division]&amp;Teams[year],
Teams[placing], "NA")</f>
        <v>NA</v>
      </c>
      <c r="F1246" s="1" t="str" cm="1">
        <f t="array" ref="F1246">_xlfn.XLOOKUP(Table2[[#This Row],[college]]&amp;Table2[[#This Row],[division]]&amp;Table2[[#This Row],[year]],
Teams[college]&amp;Teams[division]&amp;Teams[year],
Teams[finish], "NA")</f>
        <v>NA</v>
      </c>
    </row>
    <row r="1247" spans="1:6" x14ac:dyDescent="0.3">
      <c r="A1247" t="s">
        <v>6</v>
      </c>
      <c r="B1247" t="s">
        <v>5</v>
      </c>
      <c r="C1247">
        <v>7</v>
      </c>
      <c r="D1247">
        <v>2022</v>
      </c>
      <c r="E1247" cm="1">
        <f t="array" ref="E1247">_xlfn.XLOOKUP(Table2[[#This Row],[college]]&amp;Table2[[#This Row],[division]]&amp;Table2[[#This Row],[year]],
Teams[college]&amp;Teams[division]&amp;Teams[year],
Teams[placing], "NA")</f>
        <v>9</v>
      </c>
      <c r="F1247" s="1" cm="1">
        <f t="array" ref="F1247">_xlfn.XLOOKUP(Table2[[#This Row],[college]]&amp;Table2[[#This Row],[division]]&amp;Table2[[#This Row],[year]],
Teams[college]&amp;Teams[division]&amp;Teams[year],
Teams[finish], "NA")</f>
        <v>0.56805555555555554</v>
      </c>
    </row>
    <row r="1248" spans="1:6" x14ac:dyDescent="0.3">
      <c r="A1248" t="s">
        <v>6</v>
      </c>
      <c r="B1248" t="s">
        <v>5</v>
      </c>
      <c r="C1248">
        <v>6</v>
      </c>
      <c r="D1248">
        <v>2025</v>
      </c>
      <c r="E1248" cm="1">
        <f t="array" ref="E1248">_xlfn.XLOOKUP(Table2[[#This Row],[college]]&amp;Table2[[#This Row],[division]]&amp;Table2[[#This Row],[year]],
Teams[college]&amp;Teams[division]&amp;Teams[year],
Teams[placing], "NA")</f>
        <v>7</v>
      </c>
      <c r="F1248" s="1" cm="1">
        <f t="array" ref="F1248">_xlfn.XLOOKUP(Table2[[#This Row],[college]]&amp;Table2[[#This Row],[division]]&amp;Table2[[#This Row],[year]],
Teams[college]&amp;Teams[division]&amp;Teams[year],
Teams[finish], "NA")</f>
        <v>0.59652777777777777</v>
      </c>
    </row>
    <row r="1249" spans="1:6" x14ac:dyDescent="0.3">
      <c r="A1249" t="s">
        <v>6</v>
      </c>
      <c r="B1249" t="s">
        <v>5</v>
      </c>
      <c r="C1249">
        <v>5</v>
      </c>
      <c r="D1249">
        <v>2023</v>
      </c>
      <c r="E1249" t="str" cm="1">
        <f t="array" ref="E1249">_xlfn.XLOOKUP(Table2[[#This Row],[college]]&amp;Table2[[#This Row],[division]]&amp;Table2[[#This Row],[year]],
Teams[college]&amp;Teams[division]&amp;Teams[year],
Teams[placing], "NA")</f>
        <v>DNF</v>
      </c>
      <c r="F1249" s="1" t="str" cm="1">
        <f t="array" ref="F1249">_xlfn.XLOOKUP(Table2[[#This Row],[college]]&amp;Table2[[#This Row],[division]]&amp;Table2[[#This Row],[year]],
Teams[college]&amp;Teams[division]&amp;Teams[year],
Teams[finish], "NA")</f>
        <v>NA</v>
      </c>
    </row>
    <row r="1250" spans="1:6" x14ac:dyDescent="0.3">
      <c r="A1250" t="s">
        <v>340</v>
      </c>
      <c r="B1250" t="s">
        <v>19</v>
      </c>
      <c r="C1250">
        <v>5</v>
      </c>
      <c r="D1250">
        <v>2024</v>
      </c>
      <c r="E1250" cm="1">
        <f t="array" ref="E1250">_xlfn.XLOOKUP(Table2[[#This Row],[college]]&amp;Table2[[#This Row],[division]]&amp;Table2[[#This Row],[year]],
Teams[college]&amp;Teams[division]&amp;Teams[year],
Teams[placing], "NA")</f>
        <v>8</v>
      </c>
      <c r="F1250" s="1" cm="1">
        <f t="array" ref="F1250">_xlfn.XLOOKUP(Table2[[#This Row],[college]]&amp;Table2[[#This Row],[division]]&amp;Table2[[#This Row],[year]],
Teams[college]&amp;Teams[division]&amp;Teams[year],
Teams[finish], "NA")</f>
        <v>0.64513888888888893</v>
      </c>
    </row>
    <row r="1251" spans="1:6" x14ac:dyDescent="0.3">
      <c r="A1251" t="s">
        <v>1008</v>
      </c>
      <c r="B1251" t="s">
        <v>19</v>
      </c>
      <c r="C1251">
        <v>7</v>
      </c>
      <c r="D1251">
        <v>2024</v>
      </c>
      <c r="E1251" cm="1">
        <f t="array" ref="E1251">_xlfn.XLOOKUP(Table2[[#This Row],[college]]&amp;Table2[[#This Row],[division]]&amp;Table2[[#This Row],[year]],
Teams[college]&amp;Teams[division]&amp;Teams[year],
Teams[placing], "NA")</f>
        <v>6</v>
      </c>
      <c r="F1251" s="1" cm="1">
        <f t="array" ref="F1251">_xlfn.XLOOKUP(Table2[[#This Row],[college]]&amp;Table2[[#This Row],[division]]&amp;Table2[[#This Row],[year]],
Teams[college]&amp;Teams[division]&amp;Teams[year],
Teams[finish], "NA")</f>
        <v>0.6958333333333333</v>
      </c>
    </row>
    <row r="1252" spans="1:6" x14ac:dyDescent="0.3">
      <c r="A1252" t="s">
        <v>503</v>
      </c>
      <c r="B1252" t="s">
        <v>123</v>
      </c>
      <c r="C1252">
        <v>4</v>
      </c>
      <c r="D1252">
        <v>2024</v>
      </c>
      <c r="E1252" cm="1">
        <f t="array" ref="E1252">_xlfn.XLOOKUP(Table2[[#This Row],[college]]&amp;Table2[[#This Row],[division]]&amp;Table2[[#This Row],[year]],
Teams[college]&amp;Teams[division]&amp;Teams[year],
Teams[placing], "NA")</f>
        <v>1</v>
      </c>
      <c r="F1252" s="1" cm="1">
        <f t="array" ref="F1252">_xlfn.XLOOKUP(Table2[[#This Row],[college]]&amp;Table2[[#This Row],[division]]&amp;Table2[[#This Row],[year]],
Teams[college]&amp;Teams[division]&amp;Teams[year],
Teams[finish], "NA")</f>
        <v>0.60347222222222219</v>
      </c>
    </row>
    <row r="1253" spans="1:6" x14ac:dyDescent="0.3">
      <c r="A1253" t="s">
        <v>996</v>
      </c>
      <c r="B1253" t="s">
        <v>5</v>
      </c>
      <c r="C1253">
        <v>7</v>
      </c>
      <c r="D1253">
        <v>2026</v>
      </c>
      <c r="E1253" cm="1">
        <f t="array" ref="E1253">_xlfn.XLOOKUP(Table2[[#This Row],[college]]&amp;Table2[[#This Row],[division]]&amp;Table2[[#This Row],[year]],
Teams[college]&amp;Teams[division]&amp;Teams[year],
Teams[placing], "NA")</f>
        <v>0</v>
      </c>
      <c r="F1253" s="1" cm="1">
        <f t="array" ref="F1253">_xlfn.XLOOKUP(Table2[[#This Row],[college]]&amp;Table2[[#This Row],[division]]&amp;Table2[[#This Row],[year]],
Teams[college]&amp;Teams[division]&amp;Teams[year],
Teams[finish], "NA")</f>
        <v>0</v>
      </c>
    </row>
    <row r="1254" spans="1:6" x14ac:dyDescent="0.3">
      <c r="A1254" t="s">
        <v>686</v>
      </c>
      <c r="B1254" t="s">
        <v>10</v>
      </c>
      <c r="C1254">
        <v>7</v>
      </c>
      <c r="D1254">
        <v>2022</v>
      </c>
      <c r="E1254" cm="1">
        <f t="array" ref="E1254">_xlfn.XLOOKUP(Table2[[#This Row],[college]]&amp;Table2[[#This Row],[division]]&amp;Table2[[#This Row],[year]],
Teams[college]&amp;Teams[division]&amp;Teams[year],
Teams[placing], "NA")</f>
        <v>6</v>
      </c>
      <c r="F1254" s="1" cm="1">
        <f t="array" ref="F1254">_xlfn.XLOOKUP(Table2[[#This Row],[college]]&amp;Table2[[#This Row],[division]]&amp;Table2[[#This Row],[year]],
Teams[college]&amp;Teams[division]&amp;Teams[year],
Teams[finish], "NA")</f>
        <v>0.47499999999999998</v>
      </c>
    </row>
    <row r="1255" spans="1:6" x14ac:dyDescent="0.3">
      <c r="A1255" t="s">
        <v>545</v>
      </c>
      <c r="B1255" t="s">
        <v>15</v>
      </c>
      <c r="C1255">
        <v>5</v>
      </c>
      <c r="D1255">
        <v>2022</v>
      </c>
      <c r="E1255" cm="1">
        <f t="array" ref="E1255">_xlfn.XLOOKUP(Table2[[#This Row],[college]]&amp;Table2[[#This Row],[division]]&amp;Table2[[#This Row],[year]],
Teams[college]&amp;Teams[division]&amp;Teams[year],
Teams[placing], "NA")</f>
        <v>2</v>
      </c>
      <c r="F1255" s="1" cm="1">
        <f t="array" ref="F1255">_xlfn.XLOOKUP(Table2[[#This Row],[college]]&amp;Table2[[#This Row],[division]]&amp;Table2[[#This Row],[year]],
Teams[college]&amp;Teams[division]&amp;Teams[year],
Teams[finish], "NA")</f>
        <v>0.44722222222222219</v>
      </c>
    </row>
    <row r="1256" spans="1:6" x14ac:dyDescent="0.3">
      <c r="A1256" t="s">
        <v>545</v>
      </c>
      <c r="B1256" t="s">
        <v>15</v>
      </c>
      <c r="C1256">
        <v>2</v>
      </c>
      <c r="D1256">
        <v>2023</v>
      </c>
      <c r="E1256" cm="1">
        <f t="array" ref="E1256">_xlfn.XLOOKUP(Table2[[#This Row],[college]]&amp;Table2[[#This Row],[division]]&amp;Table2[[#This Row],[year]],
Teams[college]&amp;Teams[division]&amp;Teams[year],
Teams[placing], "NA")</f>
        <v>2</v>
      </c>
      <c r="F1256" s="1" cm="1">
        <f t="array" ref="F1256">_xlfn.XLOOKUP(Table2[[#This Row],[college]]&amp;Table2[[#This Row],[division]]&amp;Table2[[#This Row],[year]],
Teams[college]&amp;Teams[division]&amp;Teams[year],
Teams[finish], "NA")</f>
        <v>0.49305555555555558</v>
      </c>
    </row>
    <row r="1257" spans="1:6" x14ac:dyDescent="0.3">
      <c r="A1257" t="s">
        <v>855</v>
      </c>
      <c r="B1257" t="s">
        <v>15</v>
      </c>
      <c r="C1257">
        <v>4</v>
      </c>
      <c r="D1257">
        <v>2026</v>
      </c>
      <c r="E1257" cm="1">
        <f t="array" ref="E1257">_xlfn.XLOOKUP(Table2[[#This Row],[college]]&amp;Table2[[#This Row],[division]]&amp;Table2[[#This Row],[year]],
Teams[college]&amp;Teams[division]&amp;Teams[year],
Teams[placing], "NA")</f>
        <v>0</v>
      </c>
      <c r="F1257" s="1" cm="1">
        <f t="array" ref="F1257">_xlfn.XLOOKUP(Table2[[#This Row],[college]]&amp;Table2[[#This Row],[division]]&amp;Table2[[#This Row],[year]],
Teams[college]&amp;Teams[division]&amp;Teams[year],
Teams[finish], "NA")</f>
        <v>0</v>
      </c>
    </row>
    <row r="1258" spans="1:6" x14ac:dyDescent="0.3">
      <c r="A1258" t="s">
        <v>351</v>
      </c>
      <c r="B1258" t="s">
        <v>15</v>
      </c>
      <c r="C1258">
        <v>6</v>
      </c>
      <c r="D1258">
        <v>2024</v>
      </c>
      <c r="E1258" cm="1">
        <f t="array" ref="E1258">_xlfn.XLOOKUP(Table2[[#This Row],[college]]&amp;Table2[[#This Row],[division]]&amp;Table2[[#This Row],[year]],
Teams[college]&amp;Teams[division]&amp;Teams[year],
Teams[placing], "NA")</f>
        <v>3</v>
      </c>
      <c r="F1258" s="1" cm="1">
        <f t="array" ref="F1258">_xlfn.XLOOKUP(Table2[[#This Row],[college]]&amp;Table2[[#This Row],[division]]&amp;Table2[[#This Row],[year]],
Teams[college]&amp;Teams[division]&amp;Teams[year],
Teams[finish], "NA")</f>
        <v>0.61250000000000004</v>
      </c>
    </row>
    <row r="1259" spans="1:6" x14ac:dyDescent="0.3">
      <c r="A1259" t="s">
        <v>984</v>
      </c>
      <c r="B1259" t="s">
        <v>250</v>
      </c>
      <c r="C1259">
        <v>7</v>
      </c>
      <c r="D1259">
        <v>2026</v>
      </c>
      <c r="E1259" cm="1">
        <f t="array" ref="E1259">_xlfn.XLOOKUP(Table2[[#This Row],[college]]&amp;Table2[[#This Row],[division]]&amp;Table2[[#This Row],[year]],
Teams[college]&amp;Teams[division]&amp;Teams[year],
Teams[placing], "NA")</f>
        <v>0</v>
      </c>
      <c r="F1259" s="1" cm="1">
        <f t="array" ref="F1259">_xlfn.XLOOKUP(Table2[[#This Row],[college]]&amp;Table2[[#This Row],[division]]&amp;Table2[[#This Row],[year]],
Teams[college]&amp;Teams[division]&amp;Teams[year],
Teams[finish], "NA")</f>
        <v>0</v>
      </c>
    </row>
    <row r="1260" spans="1:6" x14ac:dyDescent="0.3">
      <c r="A1260" t="s">
        <v>903</v>
      </c>
      <c r="B1260" t="s">
        <v>132</v>
      </c>
      <c r="C1260">
        <v>5</v>
      </c>
      <c r="D1260">
        <v>2026</v>
      </c>
      <c r="E1260" cm="1">
        <f t="array" ref="E1260">_xlfn.XLOOKUP(Table2[[#This Row],[college]]&amp;Table2[[#This Row],[division]]&amp;Table2[[#This Row],[year]],
Teams[college]&amp;Teams[division]&amp;Teams[year],
Teams[placing], "NA")</f>
        <v>0</v>
      </c>
      <c r="F1260" s="1" cm="1">
        <f t="array" ref="F1260">_xlfn.XLOOKUP(Table2[[#This Row],[college]]&amp;Table2[[#This Row],[division]]&amp;Table2[[#This Row],[year]],
Teams[college]&amp;Teams[division]&amp;Teams[year],
Teams[finish], "NA")</f>
        <v>0</v>
      </c>
    </row>
    <row r="1261" spans="1:6" x14ac:dyDescent="0.3">
      <c r="A1261" t="s">
        <v>786</v>
      </c>
      <c r="B1261" t="s">
        <v>132</v>
      </c>
      <c r="C1261">
        <v>1</v>
      </c>
      <c r="D1261">
        <v>2026</v>
      </c>
      <c r="E1261" cm="1">
        <f t="array" ref="E1261">_xlfn.XLOOKUP(Table2[[#This Row],[college]]&amp;Table2[[#This Row],[division]]&amp;Table2[[#This Row],[year]],
Teams[college]&amp;Teams[division]&amp;Teams[year],
Teams[placing], "NA")</f>
        <v>0</v>
      </c>
      <c r="F1261" s="1" cm="1">
        <f t="array" ref="F1261">_xlfn.XLOOKUP(Table2[[#This Row],[college]]&amp;Table2[[#This Row],[division]]&amp;Table2[[#This Row],[year]],
Teams[college]&amp;Teams[division]&amp;Teams[year],
Teams[finish], "NA")</f>
        <v>0</v>
      </c>
    </row>
    <row r="1262" spans="1:6" x14ac:dyDescent="0.3">
      <c r="A1262" t="s">
        <v>777</v>
      </c>
      <c r="B1262" t="s">
        <v>123</v>
      </c>
      <c r="C1262">
        <v>5</v>
      </c>
      <c r="D1262">
        <v>2026</v>
      </c>
      <c r="E1262" cm="1">
        <f t="array" ref="E1262">_xlfn.XLOOKUP(Table2[[#This Row],[college]]&amp;Table2[[#This Row],[division]]&amp;Table2[[#This Row],[year]],
Teams[college]&amp;Teams[division]&amp;Teams[year],
Teams[placing], "NA")</f>
        <v>0</v>
      </c>
      <c r="F1262" s="1" cm="1">
        <f t="array" ref="F1262">_xlfn.XLOOKUP(Table2[[#This Row],[college]]&amp;Table2[[#This Row],[division]]&amp;Table2[[#This Row],[year]],
Teams[college]&amp;Teams[division]&amp;Teams[year],
Teams[finish], "NA")</f>
        <v>0</v>
      </c>
    </row>
    <row r="1263" spans="1:6" x14ac:dyDescent="0.3">
      <c r="A1263" t="s">
        <v>195</v>
      </c>
      <c r="B1263" t="s">
        <v>137</v>
      </c>
      <c r="C1263">
        <v>7</v>
      </c>
      <c r="D1263">
        <v>2025</v>
      </c>
      <c r="E1263" cm="1">
        <f t="array" ref="E1263">_xlfn.XLOOKUP(Table2[[#This Row],[college]]&amp;Table2[[#This Row],[division]]&amp;Table2[[#This Row],[year]],
Teams[college]&amp;Teams[division]&amp;Teams[year],
Teams[placing], "NA")</f>
        <v>8</v>
      </c>
      <c r="F1263" s="1" cm="1">
        <f t="array" ref="F1263">_xlfn.XLOOKUP(Table2[[#This Row],[college]]&amp;Table2[[#This Row],[division]]&amp;Table2[[#This Row],[year]],
Teams[college]&amp;Teams[division]&amp;Teams[year],
Teams[finish], "NA")</f>
        <v>0.55277777777777781</v>
      </c>
    </row>
    <row r="1264" spans="1:6" x14ac:dyDescent="0.3">
      <c r="A1264" t="s">
        <v>463</v>
      </c>
      <c r="B1264" t="s">
        <v>241</v>
      </c>
      <c r="C1264">
        <v>7</v>
      </c>
      <c r="D1264">
        <v>2024</v>
      </c>
      <c r="E1264" t="str" cm="1">
        <f t="array" ref="E1264">_xlfn.XLOOKUP(Table2[[#This Row],[college]]&amp;Table2[[#This Row],[division]]&amp;Table2[[#This Row],[year]],
Teams[college]&amp;Teams[division]&amp;Teams[year],
Teams[placing], "NA")</f>
        <v>DNF</v>
      </c>
      <c r="F1264" s="1" t="str" cm="1">
        <f t="array" ref="F1264">_xlfn.XLOOKUP(Table2[[#This Row],[college]]&amp;Table2[[#This Row],[division]]&amp;Table2[[#This Row],[year]],
Teams[college]&amp;Teams[division]&amp;Teams[year],
Teams[finish], "NA")</f>
        <v>NA</v>
      </c>
    </row>
    <row r="1265" spans="1:6" x14ac:dyDescent="0.3">
      <c r="A1265" t="s">
        <v>668</v>
      </c>
      <c r="B1265" t="s">
        <v>250</v>
      </c>
      <c r="C1265">
        <v>7</v>
      </c>
      <c r="D1265">
        <v>2022</v>
      </c>
      <c r="E1265" cm="1">
        <f t="array" ref="E1265">_xlfn.XLOOKUP(Table2[[#This Row],[college]]&amp;Table2[[#This Row],[division]]&amp;Table2[[#This Row],[year]],
Teams[college]&amp;Teams[division]&amp;Teams[year],
Teams[placing], "NA")</f>
        <v>7</v>
      </c>
      <c r="F1265" s="1" cm="1">
        <f t="array" ref="F1265">_xlfn.XLOOKUP(Table2[[#This Row],[college]]&amp;Table2[[#This Row],[division]]&amp;Table2[[#This Row],[year]],
Teams[college]&amp;Teams[division]&amp;Teams[year],
Teams[finish], "NA")</f>
        <v>0.49513888888888891</v>
      </c>
    </row>
    <row r="1266" spans="1:6" x14ac:dyDescent="0.3">
      <c r="A1266" t="s">
        <v>902</v>
      </c>
      <c r="B1266" t="s">
        <v>15</v>
      </c>
      <c r="C1266">
        <v>5</v>
      </c>
      <c r="D1266">
        <v>2026</v>
      </c>
      <c r="E1266" cm="1">
        <f t="array" ref="E1266">_xlfn.XLOOKUP(Table2[[#This Row],[college]]&amp;Table2[[#This Row],[division]]&amp;Table2[[#This Row],[year]],
Teams[college]&amp;Teams[division]&amp;Teams[year],
Teams[placing], "NA")</f>
        <v>0</v>
      </c>
      <c r="F1266" s="1" cm="1">
        <f t="array" ref="F1266">_xlfn.XLOOKUP(Table2[[#This Row],[college]]&amp;Table2[[#This Row],[division]]&amp;Table2[[#This Row],[year]],
Teams[college]&amp;Teams[division]&amp;Teams[year],
Teams[finish], "NA")</f>
        <v>0</v>
      </c>
    </row>
    <row r="1267" spans="1:6" x14ac:dyDescent="0.3">
      <c r="A1267" t="s">
        <v>135</v>
      </c>
      <c r="B1267" t="s">
        <v>132</v>
      </c>
      <c r="C1267">
        <v>6</v>
      </c>
      <c r="D1267">
        <v>2025</v>
      </c>
      <c r="E1267" cm="1">
        <f t="array" ref="E1267">_xlfn.XLOOKUP(Table2[[#This Row],[college]]&amp;Table2[[#This Row],[division]]&amp;Table2[[#This Row],[year]],
Teams[college]&amp;Teams[division]&amp;Teams[year],
Teams[placing], "NA")</f>
        <v>1</v>
      </c>
      <c r="F1267" s="1" cm="1">
        <f t="array" ref="F1267">_xlfn.XLOOKUP(Table2[[#This Row],[college]]&amp;Table2[[#This Row],[division]]&amp;Table2[[#This Row],[year]],
Teams[college]&amp;Teams[division]&amp;Teams[year],
Teams[finish], "NA")</f>
        <v>0.48888888888888887</v>
      </c>
    </row>
    <row r="1268" spans="1:6" x14ac:dyDescent="0.3">
      <c r="A1268" t="s">
        <v>564</v>
      </c>
      <c r="B1268" t="s">
        <v>754</v>
      </c>
      <c r="C1268">
        <v>4</v>
      </c>
      <c r="D1268">
        <v>2023</v>
      </c>
      <c r="E1268" t="str" cm="1">
        <f t="array" ref="E1268">_xlfn.XLOOKUP(Table2[[#This Row],[college]]&amp;Table2[[#This Row],[division]]&amp;Table2[[#This Row],[year]],
Teams[college]&amp;Teams[division]&amp;Teams[year],
Teams[placing], "NA")</f>
        <v>NA</v>
      </c>
      <c r="F1268" s="1" cm="1">
        <f t="array" ref="F1268">_xlfn.XLOOKUP(Table2[[#This Row],[college]]&amp;Table2[[#This Row],[division]]&amp;Table2[[#This Row],[year]],
Teams[college]&amp;Teams[division]&amp;Teams[year],
Teams[finish], "NA")</f>
        <v>0.40416666666666667</v>
      </c>
    </row>
    <row r="1269" spans="1:6" x14ac:dyDescent="0.3">
      <c r="A1269" t="s">
        <v>564</v>
      </c>
      <c r="B1269" t="s">
        <v>5</v>
      </c>
      <c r="C1269">
        <v>1</v>
      </c>
      <c r="D1269">
        <v>2022</v>
      </c>
      <c r="E1269" cm="1">
        <f t="array" ref="E1269">_xlfn.XLOOKUP(Table2[[#This Row],[college]]&amp;Table2[[#This Row],[division]]&amp;Table2[[#This Row],[year]],
Teams[college]&amp;Teams[division]&amp;Teams[year],
Teams[placing], "NA")</f>
        <v>1</v>
      </c>
      <c r="F1269" s="1" cm="1">
        <f t="array" ref="F1269">_xlfn.XLOOKUP(Table2[[#This Row],[college]]&amp;Table2[[#This Row],[division]]&amp;Table2[[#This Row],[year]],
Teams[college]&amp;Teams[division]&amp;Teams[year],
Teams[finish], "NA")</f>
        <v>0.45</v>
      </c>
    </row>
    <row r="1270" spans="1:6" x14ac:dyDescent="0.3">
      <c r="A1270" t="s">
        <v>876</v>
      </c>
      <c r="B1270" t="s">
        <v>10</v>
      </c>
      <c r="C1270">
        <v>4</v>
      </c>
      <c r="D1270">
        <v>2026</v>
      </c>
      <c r="E1270" cm="1">
        <f t="array" ref="E1270">_xlfn.XLOOKUP(Table2[[#This Row],[college]]&amp;Table2[[#This Row],[division]]&amp;Table2[[#This Row],[year]],
Teams[college]&amp;Teams[division]&amp;Teams[year],
Teams[placing], "NA")</f>
        <v>0</v>
      </c>
      <c r="F1270" s="1" cm="1">
        <f t="array" ref="F1270">_xlfn.XLOOKUP(Table2[[#This Row],[college]]&amp;Table2[[#This Row],[division]]&amp;Table2[[#This Row],[year]],
Teams[college]&amp;Teams[division]&amp;Teams[year],
Teams[finish], "NA")</f>
        <v>0</v>
      </c>
    </row>
    <row r="1271" spans="1:6" x14ac:dyDescent="0.3">
      <c r="A1271" t="s">
        <v>381</v>
      </c>
      <c r="B1271" t="s">
        <v>5</v>
      </c>
      <c r="C1271">
        <v>7</v>
      </c>
      <c r="D1271">
        <v>2024</v>
      </c>
      <c r="E1271" cm="1">
        <f t="array" ref="E1271">_xlfn.XLOOKUP(Table2[[#This Row],[college]]&amp;Table2[[#This Row],[division]]&amp;Table2[[#This Row],[year]],
Teams[college]&amp;Teams[division]&amp;Teams[year],
Teams[placing], "NA")</f>
        <v>4</v>
      </c>
      <c r="F1271" s="1" cm="1">
        <f t="array" ref="F1271">_xlfn.XLOOKUP(Table2[[#This Row],[college]]&amp;Table2[[#This Row],[division]]&amp;Table2[[#This Row],[year]],
Teams[college]&amp;Teams[division]&amp;Teams[year],
Teams[finish], "NA")</f>
        <v>0.66597222222222219</v>
      </c>
    </row>
    <row r="1272" spans="1:6" x14ac:dyDescent="0.3">
      <c r="A1272" t="s">
        <v>381</v>
      </c>
      <c r="B1272" t="s">
        <v>5</v>
      </c>
      <c r="C1272">
        <v>6</v>
      </c>
      <c r="D1272">
        <v>2023</v>
      </c>
      <c r="E1272" cm="1">
        <f t="array" ref="E1272">_xlfn.XLOOKUP(Table2[[#This Row],[college]]&amp;Table2[[#This Row],[division]]&amp;Table2[[#This Row],[year]],
Teams[college]&amp;Teams[division]&amp;Teams[year],
Teams[placing], "NA")</f>
        <v>8</v>
      </c>
      <c r="F1272" s="1" cm="1">
        <f t="array" ref="F1272">_xlfn.XLOOKUP(Table2[[#This Row],[college]]&amp;Table2[[#This Row],[division]]&amp;Table2[[#This Row],[year]],
Teams[college]&amp;Teams[division]&amp;Teams[year],
Teams[finish], "NA")</f>
        <v>0.67222222222222228</v>
      </c>
    </row>
    <row r="1273" spans="1:6" x14ac:dyDescent="0.3">
      <c r="A1273" t="s">
        <v>962</v>
      </c>
      <c r="B1273" t="s">
        <v>266</v>
      </c>
      <c r="C1273">
        <v>7</v>
      </c>
      <c r="D1273">
        <v>2026</v>
      </c>
      <c r="E1273" cm="1">
        <f t="array" ref="E1273">_xlfn.XLOOKUP(Table2[[#This Row],[college]]&amp;Table2[[#This Row],[division]]&amp;Table2[[#This Row],[year]],
Teams[college]&amp;Teams[division]&amp;Teams[year],
Teams[placing], "NA")</f>
        <v>0</v>
      </c>
      <c r="F1273" s="1" cm="1">
        <f t="array" ref="F1273">_xlfn.XLOOKUP(Table2[[#This Row],[college]]&amp;Table2[[#This Row],[division]]&amp;Table2[[#This Row],[year]],
Teams[college]&amp;Teams[division]&amp;Teams[year],
Teams[finish], "NA")</f>
        <v>0</v>
      </c>
    </row>
    <row r="1274" spans="1:6" x14ac:dyDescent="0.3">
      <c r="A1274" t="s">
        <v>460</v>
      </c>
      <c r="B1274" t="s">
        <v>250</v>
      </c>
      <c r="C1274">
        <v>7</v>
      </c>
      <c r="D1274">
        <v>2024</v>
      </c>
      <c r="E1274" t="str" cm="1">
        <f t="array" ref="E1274">_xlfn.XLOOKUP(Table2[[#This Row],[college]]&amp;Table2[[#This Row],[division]]&amp;Table2[[#This Row],[year]],
Teams[college]&amp;Teams[division]&amp;Teams[year],
Teams[placing], "NA")</f>
        <v>DNF</v>
      </c>
      <c r="F1274" s="1" t="str" cm="1">
        <f t="array" ref="F1274">_xlfn.XLOOKUP(Table2[[#This Row],[college]]&amp;Table2[[#This Row],[division]]&amp;Table2[[#This Row],[year]],
Teams[college]&amp;Teams[division]&amp;Teams[year],
Teams[finish], "NA")</f>
        <v>NA</v>
      </c>
    </row>
    <row r="1275" spans="1:6" x14ac:dyDescent="0.3">
      <c r="A1275" t="s">
        <v>460</v>
      </c>
      <c r="B1275" t="s">
        <v>250</v>
      </c>
      <c r="C1275">
        <v>6</v>
      </c>
      <c r="D1275">
        <v>2023</v>
      </c>
      <c r="E1275" t="str" cm="1">
        <f t="array" ref="E1275">_xlfn.XLOOKUP(Table2[[#This Row],[college]]&amp;Table2[[#This Row],[division]]&amp;Table2[[#This Row],[year]],
Teams[college]&amp;Teams[division]&amp;Teams[year],
Teams[placing], "NA")</f>
        <v>DNF</v>
      </c>
      <c r="F1275" s="1" t="str" cm="1">
        <f t="array" ref="F1275">_xlfn.XLOOKUP(Table2[[#This Row],[college]]&amp;Table2[[#This Row],[division]]&amp;Table2[[#This Row],[year]],
Teams[college]&amp;Teams[division]&amp;Teams[year],
Teams[finish], "NA")</f>
        <v>NA</v>
      </c>
    </row>
    <row r="1276" spans="1:6" x14ac:dyDescent="0.3">
      <c r="A1276" t="s">
        <v>343</v>
      </c>
      <c r="B1276" t="s">
        <v>5</v>
      </c>
      <c r="C1276">
        <v>2</v>
      </c>
      <c r="D1276">
        <v>2024</v>
      </c>
      <c r="E1276" cm="1">
        <f t="array" ref="E1276">_xlfn.XLOOKUP(Table2[[#This Row],[college]]&amp;Table2[[#This Row],[division]]&amp;Table2[[#This Row],[year]],
Teams[college]&amp;Teams[division]&amp;Teams[year],
Teams[placing], "NA")</f>
        <v>2</v>
      </c>
      <c r="F1276" s="1" cm="1">
        <f t="array" ref="F1276">_xlfn.XLOOKUP(Table2[[#This Row],[college]]&amp;Table2[[#This Row],[division]]&amp;Table2[[#This Row],[year]],
Teams[college]&amp;Teams[division]&amp;Teams[year],
Teams[finish], "NA")</f>
        <v>0.51597222222222228</v>
      </c>
    </row>
    <row r="1277" spans="1:6" x14ac:dyDescent="0.3">
      <c r="A1277" t="s">
        <v>200</v>
      </c>
      <c r="B1277" t="s">
        <v>123</v>
      </c>
      <c r="C1277">
        <v>2</v>
      </c>
      <c r="D1277">
        <v>2025</v>
      </c>
      <c r="E1277" t="str" cm="1">
        <f t="array" ref="E1277">_xlfn.XLOOKUP(Table2[[#This Row],[college]]&amp;Table2[[#This Row],[division]]&amp;Table2[[#This Row],[year]],
Teams[college]&amp;Teams[division]&amp;Teams[year],
Teams[placing], "NA")</f>
        <v>DNF</v>
      </c>
      <c r="F1277" s="1" t="str" cm="1">
        <f t="array" ref="F1277">_xlfn.XLOOKUP(Table2[[#This Row],[college]]&amp;Table2[[#This Row],[division]]&amp;Table2[[#This Row],[year]],
Teams[college]&amp;Teams[division]&amp;Teams[year],
Teams[finish], "NA")</f>
        <v>NA</v>
      </c>
    </row>
    <row r="1278" spans="1:6" x14ac:dyDescent="0.3">
      <c r="A1278" t="s">
        <v>200</v>
      </c>
      <c r="B1278" t="s">
        <v>123</v>
      </c>
      <c r="C1278">
        <v>3</v>
      </c>
      <c r="D1278">
        <v>2026</v>
      </c>
      <c r="E1278" cm="1">
        <f t="array" ref="E1278">_xlfn.XLOOKUP(Table2[[#This Row],[college]]&amp;Table2[[#This Row],[division]]&amp;Table2[[#This Row],[year]],
Teams[college]&amp;Teams[division]&amp;Teams[year],
Teams[placing], "NA")</f>
        <v>0</v>
      </c>
      <c r="F1278" s="1" cm="1">
        <f t="array" ref="F1278">_xlfn.XLOOKUP(Table2[[#This Row],[college]]&amp;Table2[[#This Row],[division]]&amp;Table2[[#This Row],[year]],
Teams[college]&amp;Teams[division]&amp;Teams[year],
Teams[finish], "NA")</f>
        <v>0</v>
      </c>
    </row>
    <row r="1279" spans="1:6" x14ac:dyDescent="0.3">
      <c r="A1279" t="s">
        <v>312</v>
      </c>
      <c r="B1279" t="s">
        <v>759</v>
      </c>
      <c r="C1279">
        <v>6</v>
      </c>
      <c r="D1279">
        <v>2025</v>
      </c>
      <c r="E1279" t="str" cm="1">
        <f t="array" ref="E1279">_xlfn.XLOOKUP(Table2[[#This Row],[college]]&amp;Table2[[#This Row],[division]]&amp;Table2[[#This Row],[year]],
Teams[college]&amp;Teams[division]&amp;Teams[year],
Teams[placing], "NA")</f>
        <v>NA</v>
      </c>
      <c r="F1279" s="1" cm="1">
        <f t="array" ref="F1279">_xlfn.XLOOKUP(Table2[[#This Row],[college]]&amp;Table2[[#This Row],[division]]&amp;Table2[[#This Row],[year]],
Teams[college]&amp;Teams[division]&amp;Teams[year],
Teams[finish], "NA")</f>
        <v>0.68263888888888891</v>
      </c>
    </row>
    <row r="1280" spans="1:6" x14ac:dyDescent="0.3">
      <c r="A1280" t="s">
        <v>765</v>
      </c>
      <c r="B1280" t="s">
        <v>15</v>
      </c>
      <c r="C1280">
        <v>4</v>
      </c>
      <c r="D1280">
        <v>2025</v>
      </c>
      <c r="E1280" cm="1">
        <f t="array" ref="E1280">_xlfn.XLOOKUP(Table2[[#This Row],[college]]&amp;Table2[[#This Row],[division]]&amp;Table2[[#This Row],[year]],
Teams[college]&amp;Teams[division]&amp;Teams[year],
Teams[placing], "NA")</f>
        <v>1</v>
      </c>
      <c r="F1280" s="1" cm="1">
        <f t="array" ref="F1280">_xlfn.XLOOKUP(Table2[[#This Row],[college]]&amp;Table2[[#This Row],[division]]&amp;Table2[[#This Row],[year]],
Teams[college]&amp;Teams[division]&amp;Teams[year],
Teams[finish], "NA")</f>
        <v>0.51458333333333328</v>
      </c>
    </row>
    <row r="1281" spans="1:6" x14ac:dyDescent="0.3">
      <c r="A1281" t="s">
        <v>765</v>
      </c>
      <c r="B1281" t="s">
        <v>15</v>
      </c>
      <c r="C1281">
        <v>7</v>
      </c>
      <c r="D1281">
        <v>2024</v>
      </c>
      <c r="E1281" cm="1">
        <f t="array" ref="E1281">_xlfn.XLOOKUP(Table2[[#This Row],[college]]&amp;Table2[[#This Row],[division]]&amp;Table2[[#This Row],[year]],
Teams[college]&amp;Teams[division]&amp;Teams[year],
Teams[placing], "NA")</f>
        <v>1</v>
      </c>
      <c r="F1281" s="1" cm="1">
        <f t="array" ref="F1281">_xlfn.XLOOKUP(Table2[[#This Row],[college]]&amp;Table2[[#This Row],[division]]&amp;Table2[[#This Row],[year]],
Teams[college]&amp;Teams[division]&amp;Teams[year],
Teams[finish], "NA")</f>
        <v>0.56527777777777777</v>
      </c>
    </row>
    <row r="1282" spans="1:6" x14ac:dyDescent="0.3">
      <c r="A1282" t="s">
        <v>1001</v>
      </c>
      <c r="B1282" t="s">
        <v>266</v>
      </c>
      <c r="C1282">
        <v>4</v>
      </c>
      <c r="D1282">
        <v>2026</v>
      </c>
      <c r="E1282" cm="1">
        <f t="array" ref="E1282">_xlfn.XLOOKUP(Table2[[#This Row],[college]]&amp;Table2[[#This Row],[division]]&amp;Table2[[#This Row],[year]],
Teams[college]&amp;Teams[division]&amp;Teams[year],
Teams[placing], "NA")</f>
        <v>0</v>
      </c>
      <c r="F1282" s="1" cm="1">
        <f t="array" ref="F1282">_xlfn.XLOOKUP(Table2[[#This Row],[college]]&amp;Table2[[#This Row],[division]]&amp;Table2[[#This Row],[year]],
Teams[college]&amp;Teams[division]&amp;Teams[year],
Teams[finish], "NA")</f>
        <v>0</v>
      </c>
    </row>
    <row r="1283" spans="1:6" x14ac:dyDescent="0.3">
      <c r="A1283" t="s">
        <v>579</v>
      </c>
      <c r="B1283" t="s">
        <v>132</v>
      </c>
      <c r="C1283">
        <v>5</v>
      </c>
      <c r="D1283">
        <v>2023</v>
      </c>
      <c r="E1283" t="str" cm="1">
        <f t="array" ref="E1283">_xlfn.XLOOKUP(Table2[[#This Row],[college]]&amp;Table2[[#This Row],[division]]&amp;Table2[[#This Row],[year]],
Teams[college]&amp;Teams[division]&amp;Teams[year],
Teams[placing], "NA")</f>
        <v>DNF</v>
      </c>
      <c r="F1283" s="1" t="str" cm="1">
        <f t="array" ref="F1283">_xlfn.XLOOKUP(Table2[[#This Row],[college]]&amp;Table2[[#This Row],[division]]&amp;Table2[[#This Row],[year]],
Teams[college]&amp;Teams[division]&amp;Teams[year],
Teams[finish], "NA")</f>
        <v>NA</v>
      </c>
    </row>
    <row r="1284" spans="1:6" x14ac:dyDescent="0.3">
      <c r="A1284" t="s">
        <v>526</v>
      </c>
      <c r="B1284" t="s">
        <v>19</v>
      </c>
      <c r="C1284">
        <v>5</v>
      </c>
      <c r="D1284">
        <v>2022</v>
      </c>
      <c r="E1284" cm="1">
        <f t="array" ref="E1284">_xlfn.XLOOKUP(Table2[[#This Row],[college]]&amp;Table2[[#This Row],[division]]&amp;Table2[[#This Row],[year]],
Teams[college]&amp;Teams[division]&amp;Teams[year],
Teams[placing], "NA")</f>
        <v>3</v>
      </c>
      <c r="F1284" s="1" cm="1">
        <f t="array" ref="F1284">_xlfn.XLOOKUP(Table2[[#This Row],[college]]&amp;Table2[[#This Row],[division]]&amp;Table2[[#This Row],[year]],
Teams[college]&amp;Teams[division]&amp;Teams[year],
Teams[finish], "NA")</f>
        <v>0.51944444444444449</v>
      </c>
    </row>
    <row r="1285" spans="1:6" x14ac:dyDescent="0.3">
      <c r="A1285" t="s">
        <v>526</v>
      </c>
      <c r="B1285" t="s">
        <v>19</v>
      </c>
      <c r="C1285">
        <v>7</v>
      </c>
      <c r="D1285">
        <v>2023</v>
      </c>
      <c r="E1285" cm="1">
        <f t="array" ref="E1285">_xlfn.XLOOKUP(Table2[[#This Row],[college]]&amp;Table2[[#This Row],[division]]&amp;Table2[[#This Row],[year]],
Teams[college]&amp;Teams[division]&amp;Teams[year],
Teams[placing], "NA")</f>
        <v>9</v>
      </c>
      <c r="F1285" s="1" cm="1">
        <f t="array" ref="F1285">_xlfn.XLOOKUP(Table2[[#This Row],[college]]&amp;Table2[[#This Row],[division]]&amp;Table2[[#This Row],[year]],
Teams[college]&amp;Teams[division]&amp;Teams[year],
Teams[finish], "NA")</f>
        <v>0.61458333333333337</v>
      </c>
    </row>
    <row r="1286" spans="1:6" x14ac:dyDescent="0.3">
      <c r="A1286" t="s">
        <v>613</v>
      </c>
      <c r="B1286" t="s">
        <v>754</v>
      </c>
      <c r="C1286">
        <v>2</v>
      </c>
      <c r="D1286">
        <v>2023</v>
      </c>
      <c r="E1286" t="str" cm="1">
        <f t="array" ref="E1286">_xlfn.XLOOKUP(Table2[[#This Row],[college]]&amp;Table2[[#This Row],[division]]&amp;Table2[[#This Row],[year]],
Teams[college]&amp;Teams[division]&amp;Teams[year],
Teams[placing], "NA")</f>
        <v>NA</v>
      </c>
      <c r="F1286" s="1" cm="1">
        <f t="array" ref="F1286">_xlfn.XLOOKUP(Table2[[#This Row],[college]]&amp;Table2[[#This Row],[division]]&amp;Table2[[#This Row],[year]],
Teams[college]&amp;Teams[division]&amp;Teams[year],
Teams[finish], "NA")</f>
        <v>0.5541666666666667</v>
      </c>
    </row>
    <row r="1287" spans="1:6" x14ac:dyDescent="0.3">
      <c r="A1287" t="s">
        <v>524</v>
      </c>
      <c r="B1287" t="s">
        <v>5</v>
      </c>
      <c r="C1287">
        <v>7</v>
      </c>
      <c r="D1287">
        <v>2023</v>
      </c>
      <c r="E1287" cm="1">
        <f t="array" ref="E1287">_xlfn.XLOOKUP(Table2[[#This Row],[college]]&amp;Table2[[#This Row],[division]]&amp;Table2[[#This Row],[year]],
Teams[college]&amp;Teams[division]&amp;Teams[year],
Teams[placing], "NA")</f>
        <v>7</v>
      </c>
      <c r="F1287" s="1" cm="1">
        <f t="array" ref="F1287">_xlfn.XLOOKUP(Table2[[#This Row],[college]]&amp;Table2[[#This Row],[division]]&amp;Table2[[#This Row],[year]],
Teams[college]&amp;Teams[division]&amp;Teams[year],
Teams[finish], "NA")</f>
        <v>0.59097222222222223</v>
      </c>
    </row>
    <row r="1288" spans="1:6" x14ac:dyDescent="0.3">
      <c r="A1288" t="s">
        <v>81</v>
      </c>
      <c r="B1288" t="s">
        <v>48</v>
      </c>
      <c r="C1288">
        <v>1</v>
      </c>
      <c r="D1288">
        <v>2025</v>
      </c>
      <c r="E1288" cm="1">
        <f t="array" ref="E1288">_xlfn.XLOOKUP(Table2[[#This Row],[college]]&amp;Table2[[#This Row],[division]]&amp;Table2[[#This Row],[year]],
Teams[college]&amp;Teams[division]&amp;Teams[year],
Teams[placing], "NA")</f>
        <v>3</v>
      </c>
      <c r="F1288" s="1" cm="1">
        <f t="array" ref="F1288">_xlfn.XLOOKUP(Table2[[#This Row],[college]]&amp;Table2[[#This Row],[division]]&amp;Table2[[#This Row],[year]],
Teams[college]&amp;Teams[division]&amp;Teams[year],
Teams[finish], "NA")</f>
        <v>0.54652777777777772</v>
      </c>
    </row>
    <row r="1289" spans="1:6" x14ac:dyDescent="0.3">
      <c r="A1289" t="s">
        <v>81</v>
      </c>
      <c r="B1289" t="s">
        <v>123</v>
      </c>
      <c r="C1289">
        <v>1</v>
      </c>
      <c r="D1289">
        <v>2024</v>
      </c>
      <c r="E1289" cm="1">
        <f t="array" ref="E1289">_xlfn.XLOOKUP(Table2[[#This Row],[college]]&amp;Table2[[#This Row],[division]]&amp;Table2[[#This Row],[year]],
Teams[college]&amp;Teams[division]&amp;Teams[year],
Teams[placing], "NA")</f>
        <v>4</v>
      </c>
      <c r="F1289" s="1" cm="1">
        <f t="array" ref="F1289">_xlfn.XLOOKUP(Table2[[#This Row],[college]]&amp;Table2[[#This Row],[division]]&amp;Table2[[#This Row],[year]],
Teams[college]&amp;Teams[division]&amp;Teams[year],
Teams[finish], "NA")</f>
        <v>0.55277777777777781</v>
      </c>
    </row>
    <row r="1290" spans="1:6" x14ac:dyDescent="0.3">
      <c r="A1290" t="s">
        <v>81</v>
      </c>
      <c r="B1290" t="s">
        <v>123</v>
      </c>
      <c r="C1290">
        <v>1</v>
      </c>
      <c r="D1290">
        <v>2023</v>
      </c>
      <c r="E1290" cm="1">
        <f t="array" ref="E1290">_xlfn.XLOOKUP(Table2[[#This Row],[college]]&amp;Table2[[#This Row],[division]]&amp;Table2[[#This Row],[year]],
Teams[college]&amp;Teams[division]&amp;Teams[year],
Teams[placing], "NA")</f>
        <v>3</v>
      </c>
      <c r="F1290" s="1" cm="1">
        <f t="array" ref="F1290">_xlfn.XLOOKUP(Table2[[#This Row],[college]]&amp;Table2[[#This Row],[division]]&amp;Table2[[#This Row],[year]],
Teams[college]&amp;Teams[division]&amp;Teams[year],
Teams[finish], "NA")</f>
        <v>0.67708333333333337</v>
      </c>
    </row>
    <row r="1291" spans="1:6" x14ac:dyDescent="0.3">
      <c r="A1291" t="s">
        <v>81</v>
      </c>
      <c r="B1291" t="s">
        <v>48</v>
      </c>
      <c r="C1291">
        <v>6</v>
      </c>
      <c r="D1291">
        <v>2026</v>
      </c>
      <c r="E1291" cm="1">
        <f t="array" ref="E1291">_xlfn.XLOOKUP(Table2[[#This Row],[college]]&amp;Table2[[#This Row],[division]]&amp;Table2[[#This Row],[year]],
Teams[college]&amp;Teams[division]&amp;Teams[year],
Teams[placing], "NA")</f>
        <v>0</v>
      </c>
      <c r="F1291" s="1" cm="1">
        <f t="array" ref="F1291">_xlfn.XLOOKUP(Table2[[#This Row],[college]]&amp;Table2[[#This Row],[division]]&amp;Table2[[#This Row],[year]],
Teams[college]&amp;Teams[division]&amp;Teams[year],
Teams[finish], "NA")</f>
        <v>0</v>
      </c>
    </row>
    <row r="1292" spans="1:6" x14ac:dyDescent="0.3">
      <c r="A1292" t="s">
        <v>350</v>
      </c>
      <c r="B1292" t="s">
        <v>15</v>
      </c>
      <c r="C1292">
        <v>7</v>
      </c>
      <c r="D1292">
        <v>2022</v>
      </c>
      <c r="E1292" cm="1">
        <f t="array" ref="E1292">_xlfn.XLOOKUP(Table2[[#This Row],[college]]&amp;Table2[[#This Row],[division]]&amp;Table2[[#This Row],[year]],
Teams[college]&amp;Teams[division]&amp;Teams[year],
Teams[placing], "NA")</f>
        <v>5</v>
      </c>
      <c r="F1292" s="1" cm="1">
        <f t="array" ref="F1292">_xlfn.XLOOKUP(Table2[[#This Row],[college]]&amp;Table2[[#This Row],[division]]&amp;Table2[[#This Row],[year]],
Teams[college]&amp;Teams[division]&amp;Teams[year],
Teams[finish], "NA")</f>
        <v>0.46388888888888891</v>
      </c>
    </row>
    <row r="1293" spans="1:6" x14ac:dyDescent="0.3">
      <c r="A1293" t="s">
        <v>350</v>
      </c>
      <c r="B1293" t="s">
        <v>15</v>
      </c>
      <c r="C1293">
        <v>6</v>
      </c>
      <c r="D1293">
        <v>2024</v>
      </c>
      <c r="E1293" cm="1">
        <f t="array" ref="E1293">_xlfn.XLOOKUP(Table2[[#This Row],[college]]&amp;Table2[[#This Row],[division]]&amp;Table2[[#This Row],[year]],
Teams[college]&amp;Teams[division]&amp;Teams[year],
Teams[placing], "NA")</f>
        <v>3</v>
      </c>
      <c r="F1293" s="1" cm="1">
        <f t="array" ref="F1293">_xlfn.XLOOKUP(Table2[[#This Row],[college]]&amp;Table2[[#This Row],[division]]&amp;Table2[[#This Row],[year]],
Teams[college]&amp;Teams[division]&amp;Teams[year],
Teams[finish], "NA")</f>
        <v>0.61250000000000004</v>
      </c>
    </row>
    <row r="1294" spans="1:6" x14ac:dyDescent="0.3">
      <c r="A1294" t="s">
        <v>350</v>
      </c>
      <c r="B1294" t="s">
        <v>15</v>
      </c>
      <c r="C1294">
        <v>4</v>
      </c>
      <c r="D1294">
        <v>2023</v>
      </c>
      <c r="E1294" cm="1">
        <f t="array" ref="E1294">_xlfn.XLOOKUP(Table2[[#This Row],[college]]&amp;Table2[[#This Row],[division]]&amp;Table2[[#This Row],[year]],
Teams[college]&amp;Teams[division]&amp;Teams[year],
Teams[placing], "NA")</f>
        <v>5</v>
      </c>
      <c r="F1294" s="1" cm="1">
        <f t="array" ref="F1294">_xlfn.XLOOKUP(Table2[[#This Row],[college]]&amp;Table2[[#This Row],[division]]&amp;Table2[[#This Row],[year]],
Teams[college]&amp;Teams[division]&amp;Teams[year],
Teams[finish], "NA")</f>
        <v>0.63680555555555551</v>
      </c>
    </row>
    <row r="1295" spans="1:6" x14ac:dyDescent="0.3">
      <c r="A1295" t="s">
        <v>205</v>
      </c>
      <c r="B1295" t="s">
        <v>5</v>
      </c>
      <c r="C1295">
        <v>1</v>
      </c>
      <c r="D1295">
        <v>2025</v>
      </c>
      <c r="E1295" cm="1">
        <f t="array" ref="E1295">_xlfn.XLOOKUP(Table2[[#This Row],[college]]&amp;Table2[[#This Row],[division]]&amp;Table2[[#This Row],[year]],
Teams[college]&amp;Teams[division]&amp;Teams[year],
Teams[placing], "NA")</f>
        <v>1</v>
      </c>
      <c r="F1295" s="1" cm="1">
        <f t="array" ref="F1295">_xlfn.XLOOKUP(Table2[[#This Row],[college]]&amp;Table2[[#This Row],[division]]&amp;Table2[[#This Row],[year]],
Teams[college]&amp;Teams[division]&amp;Teams[year],
Teams[finish], "NA")</f>
        <v>0.38472222222222224</v>
      </c>
    </row>
    <row r="1296" spans="1:6" x14ac:dyDescent="0.3">
      <c r="A1296" t="s">
        <v>205</v>
      </c>
      <c r="B1296" t="s">
        <v>5</v>
      </c>
      <c r="C1296">
        <v>1</v>
      </c>
      <c r="D1296">
        <v>2023</v>
      </c>
      <c r="E1296" t="str" cm="1">
        <f t="array" ref="E1296">_xlfn.XLOOKUP(Table2[[#This Row],[college]]&amp;Table2[[#This Row],[division]]&amp;Table2[[#This Row],[year]],
Teams[college]&amp;Teams[division]&amp;Teams[year],
Teams[placing], "NA")</f>
        <v>DNF</v>
      </c>
      <c r="F1296" s="1" t="str" cm="1">
        <f t="array" ref="F1296">_xlfn.XLOOKUP(Table2[[#This Row],[college]]&amp;Table2[[#This Row],[division]]&amp;Table2[[#This Row],[year]],
Teams[college]&amp;Teams[division]&amp;Teams[year],
Teams[finish], "NA")</f>
        <v>NA</v>
      </c>
    </row>
    <row r="1297" spans="1:6" x14ac:dyDescent="0.3">
      <c r="A1297" t="s">
        <v>205</v>
      </c>
      <c r="B1297" t="s">
        <v>5</v>
      </c>
      <c r="C1297">
        <v>1</v>
      </c>
      <c r="D1297">
        <v>2026</v>
      </c>
      <c r="E1297" cm="1">
        <f t="array" ref="E1297">_xlfn.XLOOKUP(Table2[[#This Row],[college]]&amp;Table2[[#This Row],[division]]&amp;Table2[[#This Row],[year]],
Teams[college]&amp;Teams[division]&amp;Teams[year],
Teams[placing], "NA")</f>
        <v>0</v>
      </c>
      <c r="F1297" s="1" cm="1">
        <f t="array" ref="F1297">_xlfn.XLOOKUP(Table2[[#This Row],[college]]&amp;Table2[[#This Row],[division]]&amp;Table2[[#This Row],[year]],
Teams[college]&amp;Teams[division]&amp;Teams[year],
Teams[finish], "NA")</f>
        <v>0</v>
      </c>
    </row>
    <row r="1298" spans="1:6" x14ac:dyDescent="0.3">
      <c r="A1298" t="s">
        <v>794</v>
      </c>
      <c r="B1298" t="s">
        <v>19</v>
      </c>
      <c r="C1298">
        <v>3</v>
      </c>
      <c r="D1298">
        <v>2025</v>
      </c>
      <c r="E1298" cm="1">
        <f t="array" ref="E1298">_xlfn.XLOOKUP(Table2[[#This Row],[college]]&amp;Table2[[#This Row],[division]]&amp;Table2[[#This Row],[year]],
Teams[college]&amp;Teams[division]&amp;Teams[year],
Teams[placing], "NA")</f>
        <v>5</v>
      </c>
      <c r="F1298" s="1" cm="1">
        <f t="array" ref="F1298">_xlfn.XLOOKUP(Table2[[#This Row],[college]]&amp;Table2[[#This Row],[division]]&amp;Table2[[#This Row],[year]],
Teams[college]&amp;Teams[division]&amp;Teams[year],
Teams[finish], "NA")</f>
        <v>0.5708333333333333</v>
      </c>
    </row>
    <row r="1299" spans="1:6" x14ac:dyDescent="0.3">
      <c r="A1299" t="s">
        <v>794</v>
      </c>
      <c r="B1299" t="s">
        <v>19</v>
      </c>
      <c r="C1299">
        <v>1</v>
      </c>
      <c r="D1299">
        <v>2026</v>
      </c>
      <c r="E1299" cm="1">
        <f t="array" ref="E1299">_xlfn.XLOOKUP(Table2[[#This Row],[college]]&amp;Table2[[#This Row],[division]]&amp;Table2[[#This Row],[year]],
Teams[college]&amp;Teams[division]&amp;Teams[year],
Teams[placing], "NA")</f>
        <v>0</v>
      </c>
      <c r="F1299" s="1" cm="1">
        <f t="array" ref="F1299">_xlfn.XLOOKUP(Table2[[#This Row],[college]]&amp;Table2[[#This Row],[division]]&amp;Table2[[#This Row],[year]],
Teams[college]&amp;Teams[division]&amp;Teams[year],
Teams[finish], "NA")</f>
        <v>0</v>
      </c>
    </row>
    <row r="1300" spans="1:6" x14ac:dyDescent="0.3">
      <c r="A1300" t="s">
        <v>290</v>
      </c>
      <c r="B1300" t="s">
        <v>250</v>
      </c>
      <c r="C1300">
        <v>5</v>
      </c>
      <c r="D1300">
        <v>2025</v>
      </c>
      <c r="E1300" cm="1">
        <f t="array" ref="E1300">_xlfn.XLOOKUP(Table2[[#This Row],[college]]&amp;Table2[[#This Row],[division]]&amp;Table2[[#This Row],[year]],
Teams[college]&amp;Teams[division]&amp;Teams[year],
Teams[placing], "NA")</f>
        <v>8</v>
      </c>
      <c r="F1300" s="1" cm="1">
        <f t="array" ref="F1300">_xlfn.XLOOKUP(Table2[[#This Row],[college]]&amp;Table2[[#This Row],[division]]&amp;Table2[[#This Row],[year]],
Teams[college]&amp;Teams[division]&amp;Teams[year],
Teams[finish], "NA")</f>
        <v>0.54652777777777772</v>
      </c>
    </row>
    <row r="1301" spans="1:6" x14ac:dyDescent="0.3">
      <c r="A1301" t="s">
        <v>290</v>
      </c>
      <c r="B1301" t="s">
        <v>250</v>
      </c>
      <c r="C1301">
        <v>3</v>
      </c>
      <c r="D1301">
        <v>2026</v>
      </c>
      <c r="E1301" cm="1">
        <f t="array" ref="E1301">_xlfn.XLOOKUP(Table2[[#This Row],[college]]&amp;Table2[[#This Row],[division]]&amp;Table2[[#This Row],[year]],
Teams[college]&amp;Teams[division]&amp;Teams[year],
Teams[placing], "NA")</f>
        <v>0</v>
      </c>
      <c r="F1301" s="1" cm="1">
        <f t="array" ref="F1301">_xlfn.XLOOKUP(Table2[[#This Row],[college]]&amp;Table2[[#This Row],[division]]&amp;Table2[[#This Row],[year]],
Teams[college]&amp;Teams[division]&amp;Teams[year],
Teams[finish], "NA")</f>
        <v>0</v>
      </c>
    </row>
    <row r="1302" spans="1:6" x14ac:dyDescent="0.3">
      <c r="A1302" t="s">
        <v>885</v>
      </c>
      <c r="B1302" t="s">
        <v>15</v>
      </c>
      <c r="C1302">
        <v>5</v>
      </c>
      <c r="D1302">
        <v>2026</v>
      </c>
      <c r="E1302" cm="1">
        <f t="array" ref="E1302">_xlfn.XLOOKUP(Table2[[#This Row],[college]]&amp;Table2[[#This Row],[division]]&amp;Table2[[#This Row],[year]],
Teams[college]&amp;Teams[division]&amp;Teams[year],
Teams[placing], "NA")</f>
        <v>0</v>
      </c>
      <c r="F1302" s="1" cm="1">
        <f t="array" ref="F1302">_xlfn.XLOOKUP(Table2[[#This Row],[college]]&amp;Table2[[#This Row],[division]]&amp;Table2[[#This Row],[year]],
Teams[college]&amp;Teams[division]&amp;Teams[year],
Teams[finish], "NA")</f>
        <v>0</v>
      </c>
    </row>
    <row r="1303" spans="1:6" x14ac:dyDescent="0.3">
      <c r="A1303" t="s">
        <v>333</v>
      </c>
      <c r="B1303" t="s">
        <v>755</v>
      </c>
      <c r="C1303">
        <v>2</v>
      </c>
      <c r="D1303">
        <v>2025</v>
      </c>
      <c r="E1303" t="str" cm="1">
        <f t="array" ref="E1303">_xlfn.XLOOKUP(Table2[[#This Row],[college]]&amp;Table2[[#This Row],[division]]&amp;Table2[[#This Row],[year]],
Teams[college]&amp;Teams[division]&amp;Teams[year],
Teams[placing], "NA")</f>
        <v>NA</v>
      </c>
      <c r="F1303" s="1" cm="1">
        <f t="array" ref="F1303">_xlfn.XLOOKUP(Table2[[#This Row],[college]]&amp;Table2[[#This Row],[division]]&amp;Table2[[#This Row],[year]],
Teams[college]&amp;Teams[division]&amp;Teams[year],
Teams[finish], "NA")</f>
        <v>0.57499999999999996</v>
      </c>
    </row>
    <row r="1304" spans="1:6" x14ac:dyDescent="0.3">
      <c r="A1304" t="s">
        <v>87</v>
      </c>
      <c r="B1304" t="s">
        <v>755</v>
      </c>
      <c r="C1304">
        <v>5</v>
      </c>
      <c r="D1304">
        <v>2025</v>
      </c>
      <c r="E1304" t="str" cm="1">
        <f t="array" ref="E1304">_xlfn.XLOOKUP(Table2[[#This Row],[college]]&amp;Table2[[#This Row],[division]]&amp;Table2[[#This Row],[year]],
Teams[college]&amp;Teams[division]&amp;Teams[year],
Teams[placing], "NA")</f>
        <v>NA</v>
      </c>
      <c r="F1304" s="1" cm="1">
        <f t="array" ref="F1304">_xlfn.XLOOKUP(Table2[[#This Row],[college]]&amp;Table2[[#This Row],[division]]&amp;Table2[[#This Row],[year]],
Teams[college]&amp;Teams[division]&amp;Teams[year],
Teams[finish], "NA")</f>
        <v>0.50208333333333333</v>
      </c>
    </row>
    <row r="1305" spans="1:6" x14ac:dyDescent="0.3">
      <c r="A1305" t="s">
        <v>974</v>
      </c>
      <c r="B1305" t="s">
        <v>250</v>
      </c>
      <c r="C1305">
        <v>7</v>
      </c>
      <c r="D1305">
        <v>2026</v>
      </c>
      <c r="E1305" cm="1">
        <f t="array" ref="E1305">_xlfn.XLOOKUP(Table2[[#This Row],[college]]&amp;Table2[[#This Row],[division]]&amp;Table2[[#This Row],[year]],
Teams[college]&amp;Teams[division]&amp;Teams[year],
Teams[placing], "NA")</f>
        <v>0</v>
      </c>
      <c r="F1305" s="1" cm="1">
        <f t="array" ref="F1305">_xlfn.XLOOKUP(Table2[[#This Row],[college]]&amp;Table2[[#This Row],[division]]&amp;Table2[[#This Row],[year]],
Teams[college]&amp;Teams[division]&amp;Teams[year],
Teams[finish], "NA")</f>
        <v>0</v>
      </c>
    </row>
    <row r="1306" spans="1:6" x14ac:dyDescent="0.3">
      <c r="A1306" t="s">
        <v>201</v>
      </c>
      <c r="B1306" t="s">
        <v>123</v>
      </c>
      <c r="C1306">
        <v>2</v>
      </c>
      <c r="D1306">
        <v>2025</v>
      </c>
      <c r="E1306" t="str" cm="1">
        <f t="array" ref="E1306">_xlfn.XLOOKUP(Table2[[#This Row],[college]]&amp;Table2[[#This Row],[division]]&amp;Table2[[#This Row],[year]],
Teams[college]&amp;Teams[division]&amp;Teams[year],
Teams[placing], "NA")</f>
        <v>DNF</v>
      </c>
      <c r="F1306" s="1" t="str" cm="1">
        <f t="array" ref="F1306">_xlfn.XLOOKUP(Table2[[#This Row],[college]]&amp;Table2[[#This Row],[division]]&amp;Table2[[#This Row],[year]],
Teams[college]&amp;Teams[division]&amp;Teams[year],
Teams[finish], "NA")</f>
        <v>NA</v>
      </c>
    </row>
    <row r="1307" spans="1:6" x14ac:dyDescent="0.3">
      <c r="A1307" t="s">
        <v>836</v>
      </c>
      <c r="B1307" t="s">
        <v>241</v>
      </c>
      <c r="C1307">
        <v>3</v>
      </c>
      <c r="D1307">
        <v>2026</v>
      </c>
      <c r="E1307" cm="1">
        <f t="array" ref="E1307">_xlfn.XLOOKUP(Table2[[#This Row],[college]]&amp;Table2[[#This Row],[division]]&amp;Table2[[#This Row],[year]],
Teams[college]&amp;Teams[division]&amp;Teams[year],
Teams[placing], "NA")</f>
        <v>0</v>
      </c>
      <c r="F1307" s="1" cm="1">
        <f t="array" ref="F1307">_xlfn.XLOOKUP(Table2[[#This Row],[college]]&amp;Table2[[#This Row],[division]]&amp;Table2[[#This Row],[year]],
Teams[college]&amp;Teams[division]&amp;Teams[year],
Teams[finish], "NA")</f>
        <v>0</v>
      </c>
    </row>
    <row r="1308" spans="1:6" x14ac:dyDescent="0.3">
      <c r="A1308" t="s">
        <v>676</v>
      </c>
      <c r="B1308" t="s">
        <v>10</v>
      </c>
      <c r="C1308">
        <v>3</v>
      </c>
      <c r="D1308">
        <v>2022</v>
      </c>
      <c r="E1308" cm="1">
        <f t="array" ref="E1308">_xlfn.XLOOKUP(Table2[[#This Row],[college]]&amp;Table2[[#This Row],[division]]&amp;Table2[[#This Row],[year]],
Teams[college]&amp;Teams[division]&amp;Teams[year],
Teams[placing], "NA")</f>
        <v>3</v>
      </c>
      <c r="F1308" s="1" cm="1">
        <f t="array" ref="F1308">_xlfn.XLOOKUP(Table2[[#This Row],[college]]&amp;Table2[[#This Row],[division]]&amp;Table2[[#This Row],[year]],
Teams[college]&amp;Teams[division]&amp;Teams[year],
Teams[finish], "NA")</f>
        <v>0.48402777777777778</v>
      </c>
    </row>
    <row r="1309" spans="1:6" x14ac:dyDescent="0.3">
      <c r="A1309" t="s">
        <v>709</v>
      </c>
      <c r="B1309" t="s">
        <v>123</v>
      </c>
      <c r="C1309">
        <v>7</v>
      </c>
      <c r="D1309">
        <v>2022</v>
      </c>
      <c r="E1309" cm="1">
        <f t="array" ref="E1309">_xlfn.XLOOKUP(Table2[[#This Row],[college]]&amp;Table2[[#This Row],[division]]&amp;Table2[[#This Row],[year]],
Teams[college]&amp;Teams[division]&amp;Teams[year],
Teams[placing], "NA")</f>
        <v>3</v>
      </c>
      <c r="F1309" s="1" cm="1">
        <f t="array" ref="F1309">_xlfn.XLOOKUP(Table2[[#This Row],[college]]&amp;Table2[[#This Row],[division]]&amp;Table2[[#This Row],[year]],
Teams[college]&amp;Teams[division]&amp;Teams[year],
Teams[finish], "NA")</f>
        <v>0.45763888888888893</v>
      </c>
    </row>
    <row r="1310" spans="1:6" x14ac:dyDescent="0.3">
      <c r="A1310" t="s">
        <v>595</v>
      </c>
      <c r="B1310" t="s">
        <v>10</v>
      </c>
      <c r="C1310">
        <v>4</v>
      </c>
      <c r="D1310">
        <v>2023</v>
      </c>
      <c r="E1310" cm="1">
        <f t="array" ref="E1310">_xlfn.XLOOKUP(Table2[[#This Row],[college]]&amp;Table2[[#This Row],[division]]&amp;Table2[[#This Row],[year]],
Teams[college]&amp;Teams[division]&amp;Teams[year],
Teams[placing], "NA")</f>
        <v>3</v>
      </c>
      <c r="F1310" s="1" cm="1">
        <f t="array" ref="F1310">_xlfn.XLOOKUP(Table2[[#This Row],[college]]&amp;Table2[[#This Row],[division]]&amp;Table2[[#This Row],[year]],
Teams[college]&amp;Teams[division]&amp;Teams[year],
Teams[finish], "NA")</f>
        <v>0.56944444444444442</v>
      </c>
    </row>
    <row r="1311" spans="1:6" x14ac:dyDescent="0.3">
      <c r="A1311" t="s">
        <v>595</v>
      </c>
      <c r="B1311" t="s">
        <v>10</v>
      </c>
      <c r="C1311">
        <v>4</v>
      </c>
      <c r="D1311">
        <v>2022</v>
      </c>
      <c r="E1311" t="str" cm="1">
        <f t="array" ref="E1311">_xlfn.XLOOKUP(Table2[[#This Row],[college]]&amp;Table2[[#This Row],[division]]&amp;Table2[[#This Row],[year]],
Teams[college]&amp;Teams[division]&amp;Teams[year],
Teams[placing], "NA")</f>
        <v>DQ</v>
      </c>
      <c r="F1311" s="1" t="str" cm="1">
        <f t="array" ref="F1311">_xlfn.XLOOKUP(Table2[[#This Row],[college]]&amp;Table2[[#This Row],[division]]&amp;Table2[[#This Row],[year]],
Teams[college]&amp;Teams[division]&amp;Teams[year],
Teams[finish], "NA")</f>
        <v>NA</v>
      </c>
    </row>
    <row r="1312" spans="1:6" x14ac:dyDescent="0.3">
      <c r="A1312" t="s">
        <v>404</v>
      </c>
      <c r="B1312" t="s">
        <v>15</v>
      </c>
      <c r="C1312">
        <v>7</v>
      </c>
      <c r="D1312">
        <v>2023</v>
      </c>
      <c r="E1312" cm="1">
        <f t="array" ref="E1312">_xlfn.XLOOKUP(Table2[[#This Row],[college]]&amp;Table2[[#This Row],[division]]&amp;Table2[[#This Row],[year]],
Teams[college]&amp;Teams[division]&amp;Teams[year],
Teams[placing], "NA")</f>
        <v>1</v>
      </c>
      <c r="F1312" s="1" cm="1">
        <f t="array" ref="F1312">_xlfn.XLOOKUP(Table2[[#This Row],[college]]&amp;Table2[[#This Row],[division]]&amp;Table2[[#This Row],[year]],
Teams[college]&amp;Teams[division]&amp;Teams[year],
Teams[finish], "NA")</f>
        <v>0.50763888888888886</v>
      </c>
    </row>
    <row r="1313" spans="1:6" x14ac:dyDescent="0.3">
      <c r="A1313" t="s">
        <v>404</v>
      </c>
      <c r="B1313" t="s">
        <v>15</v>
      </c>
      <c r="C1313">
        <v>5</v>
      </c>
      <c r="D1313">
        <v>2024</v>
      </c>
      <c r="E1313" cm="1">
        <f t="array" ref="E1313">_xlfn.XLOOKUP(Table2[[#This Row],[college]]&amp;Table2[[#This Row],[division]]&amp;Table2[[#This Row],[year]],
Teams[college]&amp;Teams[division]&amp;Teams[year],
Teams[placing], "NA")</f>
        <v>6</v>
      </c>
      <c r="F1313" s="1" cm="1">
        <f t="array" ref="F1313">_xlfn.XLOOKUP(Table2[[#This Row],[college]]&amp;Table2[[#This Row],[division]]&amp;Table2[[#This Row],[year]],
Teams[college]&amp;Teams[division]&amp;Teams[year],
Teams[finish], "NA")</f>
        <v>0.62986111111111109</v>
      </c>
    </row>
    <row r="1314" spans="1:6" x14ac:dyDescent="0.3">
      <c r="A1314" t="s">
        <v>575</v>
      </c>
      <c r="B1314" t="s">
        <v>10</v>
      </c>
      <c r="C1314">
        <v>5</v>
      </c>
      <c r="D1314">
        <v>2023</v>
      </c>
      <c r="E1314" t="str" cm="1">
        <f t="array" ref="E1314">_xlfn.XLOOKUP(Table2[[#This Row],[college]]&amp;Table2[[#This Row],[division]]&amp;Table2[[#This Row],[year]],
Teams[college]&amp;Teams[division]&amp;Teams[year],
Teams[placing], "NA")</f>
        <v>DNF</v>
      </c>
      <c r="F1314" s="1" t="str" cm="1">
        <f t="array" ref="F1314">_xlfn.XLOOKUP(Table2[[#This Row],[college]]&amp;Table2[[#This Row],[division]]&amp;Table2[[#This Row],[year]],
Teams[college]&amp;Teams[division]&amp;Teams[year],
Teams[finish], "NA")</f>
        <v>NA</v>
      </c>
    </row>
    <row r="1315" spans="1:6" x14ac:dyDescent="0.3">
      <c r="A1315" t="s">
        <v>283</v>
      </c>
      <c r="B1315" t="s">
        <v>266</v>
      </c>
      <c r="C1315">
        <v>5</v>
      </c>
      <c r="D1315">
        <v>2025</v>
      </c>
      <c r="E1315" cm="1">
        <f t="array" ref="E1315">_xlfn.XLOOKUP(Table2[[#This Row],[college]]&amp;Table2[[#This Row],[division]]&amp;Table2[[#This Row],[year]],
Teams[college]&amp;Teams[division]&amp;Teams[year],
Teams[placing], "NA")</f>
        <v>10</v>
      </c>
      <c r="F1315" s="1" cm="1">
        <f t="array" ref="F1315">_xlfn.XLOOKUP(Table2[[#This Row],[college]]&amp;Table2[[#This Row],[division]]&amp;Table2[[#This Row],[year]],
Teams[college]&amp;Teams[division]&amp;Teams[year],
Teams[finish], "NA")</f>
        <v>0.63680555555555551</v>
      </c>
    </row>
    <row r="1316" spans="1:6" x14ac:dyDescent="0.3">
      <c r="A1316" t="s">
        <v>281</v>
      </c>
      <c r="B1316" t="s">
        <v>266</v>
      </c>
      <c r="C1316">
        <v>3</v>
      </c>
      <c r="D1316">
        <v>2025</v>
      </c>
      <c r="E1316" t="str" cm="1">
        <f t="array" ref="E1316">_xlfn.XLOOKUP(Table2[[#This Row],[college]]&amp;Table2[[#This Row],[division]]&amp;Table2[[#This Row],[year]],
Teams[college]&amp;Teams[division]&amp;Teams[year],
Teams[placing], "NA")</f>
        <v>DNF</v>
      </c>
      <c r="F1316" s="1" t="str" cm="1">
        <f t="array" ref="F1316">_xlfn.XLOOKUP(Table2[[#This Row],[college]]&amp;Table2[[#This Row],[division]]&amp;Table2[[#This Row],[year]],
Teams[college]&amp;Teams[division]&amp;Teams[year],
Teams[finish], "NA")</f>
        <v>NA</v>
      </c>
    </row>
    <row r="1317" spans="1:6" x14ac:dyDescent="0.3">
      <c r="A1317" t="s">
        <v>281</v>
      </c>
      <c r="B1317" t="s">
        <v>266</v>
      </c>
      <c r="C1317">
        <v>3</v>
      </c>
      <c r="D1317">
        <v>2024</v>
      </c>
      <c r="E1317" t="str" cm="1">
        <f t="array" ref="E1317">_xlfn.XLOOKUP(Table2[[#This Row],[college]]&amp;Table2[[#This Row],[division]]&amp;Table2[[#This Row],[year]],
Teams[college]&amp;Teams[division]&amp;Teams[year],
Teams[placing], "NA")</f>
        <v>DNF</v>
      </c>
      <c r="F1317" s="1" t="str" cm="1">
        <f t="array" ref="F1317">_xlfn.XLOOKUP(Table2[[#This Row],[college]]&amp;Table2[[#This Row],[division]]&amp;Table2[[#This Row],[year]],
Teams[college]&amp;Teams[division]&amp;Teams[year],
Teams[finish], "NA")</f>
        <v>NA</v>
      </c>
    </row>
    <row r="1318" spans="1:6" x14ac:dyDescent="0.3">
      <c r="A1318" t="s">
        <v>395</v>
      </c>
      <c r="B1318" t="s">
        <v>19</v>
      </c>
      <c r="C1318">
        <v>2</v>
      </c>
      <c r="D1318">
        <v>2023</v>
      </c>
      <c r="E1318" cm="1">
        <f t="array" ref="E1318">_xlfn.XLOOKUP(Table2[[#This Row],[college]]&amp;Table2[[#This Row],[division]]&amp;Table2[[#This Row],[year]],
Teams[college]&amp;Teams[division]&amp;Teams[year],
Teams[placing], "NA")</f>
        <v>3</v>
      </c>
      <c r="F1318" s="1" cm="1">
        <f t="array" ref="F1318">_xlfn.XLOOKUP(Table2[[#This Row],[college]]&amp;Table2[[#This Row],[division]]&amp;Table2[[#This Row],[year]],
Teams[college]&amp;Teams[division]&amp;Teams[year],
Teams[finish], "NA")</f>
        <v>0.58750000000000002</v>
      </c>
    </row>
    <row r="1319" spans="1:6" x14ac:dyDescent="0.3">
      <c r="A1319" t="s">
        <v>395</v>
      </c>
      <c r="B1319" t="s">
        <v>19</v>
      </c>
      <c r="C1319">
        <v>1</v>
      </c>
      <c r="D1319">
        <v>2024</v>
      </c>
      <c r="E1319" cm="1">
        <f t="array" ref="E1319">_xlfn.XLOOKUP(Table2[[#This Row],[college]]&amp;Table2[[#This Row],[division]]&amp;Table2[[#This Row],[year]],
Teams[college]&amp;Teams[division]&amp;Teams[year],
Teams[placing], "NA")</f>
        <v>6</v>
      </c>
      <c r="F1319" s="1" cm="1">
        <f t="array" ref="F1319">_xlfn.XLOOKUP(Table2[[#This Row],[college]]&amp;Table2[[#This Row],[division]]&amp;Table2[[#This Row],[year]],
Teams[college]&amp;Teams[division]&amp;Teams[year],
Teams[finish], "NA")</f>
        <v>0.68402777777777779</v>
      </c>
    </row>
    <row r="1320" spans="1:6" x14ac:dyDescent="0.3">
      <c r="A1320" t="s">
        <v>80</v>
      </c>
      <c r="B1320" t="s">
        <v>10</v>
      </c>
      <c r="C1320">
        <v>3</v>
      </c>
      <c r="D1320">
        <v>2025</v>
      </c>
      <c r="E1320" t="str" cm="1">
        <f t="array" ref="E1320">_xlfn.XLOOKUP(Table2[[#This Row],[college]]&amp;Table2[[#This Row],[division]]&amp;Table2[[#This Row],[year]],
Teams[college]&amp;Teams[division]&amp;Teams[year],
Teams[placing], "NA")</f>
        <v>DNF</v>
      </c>
      <c r="F1320" s="1" t="str" cm="1">
        <f t="array" ref="F1320">_xlfn.XLOOKUP(Table2[[#This Row],[college]]&amp;Table2[[#This Row],[division]]&amp;Table2[[#This Row],[year]],
Teams[college]&amp;Teams[division]&amp;Teams[year],
Teams[finish], "NA")</f>
        <v>NA</v>
      </c>
    </row>
    <row r="1321" spans="1:6" x14ac:dyDescent="0.3">
      <c r="A1321" t="s">
        <v>211</v>
      </c>
      <c r="B1321" t="s">
        <v>137</v>
      </c>
      <c r="C1321">
        <v>4</v>
      </c>
      <c r="D1321">
        <v>2025</v>
      </c>
      <c r="E1321" cm="1">
        <f t="array" ref="E1321">_xlfn.XLOOKUP(Table2[[#This Row],[college]]&amp;Table2[[#This Row],[division]]&amp;Table2[[#This Row],[year]],
Teams[college]&amp;Teams[division]&amp;Teams[year],
Teams[placing], "NA")</f>
        <v>3</v>
      </c>
      <c r="F1321" s="1" cm="1">
        <f t="array" ref="F1321">_xlfn.XLOOKUP(Table2[[#This Row],[college]]&amp;Table2[[#This Row],[division]]&amp;Table2[[#This Row],[year]],
Teams[college]&amp;Teams[division]&amp;Teams[year],
Teams[finish], "NA")</f>
        <v>0.59236111111111112</v>
      </c>
    </row>
    <row r="1322" spans="1:6" x14ac:dyDescent="0.3">
      <c r="A1322" t="s">
        <v>211</v>
      </c>
      <c r="B1322" t="s">
        <v>787</v>
      </c>
      <c r="C1322">
        <v>3</v>
      </c>
      <c r="D1322">
        <v>2026</v>
      </c>
      <c r="E1322" t="str" cm="1">
        <f t="array" ref="E1322">_xlfn.XLOOKUP(Table2[[#This Row],[college]]&amp;Table2[[#This Row],[division]]&amp;Table2[[#This Row],[year]],
Teams[college]&amp;Teams[division]&amp;Teams[year],
Teams[placing], "NA")</f>
        <v>NA</v>
      </c>
      <c r="F1322" s="1" t="str" cm="1">
        <f t="array" ref="F1322">_xlfn.XLOOKUP(Table2[[#This Row],[college]]&amp;Table2[[#This Row],[division]]&amp;Table2[[#This Row],[year]],
Teams[college]&amp;Teams[division]&amp;Teams[year],
Teams[finish], "NA")</f>
        <v>NA</v>
      </c>
    </row>
    <row r="1323" spans="1:6" x14ac:dyDescent="0.3">
      <c r="A1323" t="s">
        <v>490</v>
      </c>
      <c r="B1323" t="s">
        <v>123</v>
      </c>
      <c r="C1323">
        <v>2</v>
      </c>
      <c r="D1323">
        <v>2022</v>
      </c>
      <c r="E1323" cm="1">
        <f t="array" ref="E1323">_xlfn.XLOOKUP(Table2[[#This Row],[college]]&amp;Table2[[#This Row],[division]]&amp;Table2[[#This Row],[year]],
Teams[college]&amp;Teams[division]&amp;Teams[year],
Teams[placing], "NA")</f>
        <v>1</v>
      </c>
      <c r="F1323" s="1" cm="1">
        <f t="array" ref="F1323">_xlfn.XLOOKUP(Table2[[#This Row],[college]]&amp;Table2[[#This Row],[division]]&amp;Table2[[#This Row],[year]],
Teams[college]&amp;Teams[division]&amp;Teams[year],
Teams[finish], "NA")</f>
        <v>0.48888888888888887</v>
      </c>
    </row>
    <row r="1324" spans="1:6" x14ac:dyDescent="0.3">
      <c r="A1324" t="s">
        <v>490</v>
      </c>
      <c r="B1324" t="s">
        <v>48</v>
      </c>
      <c r="C1324">
        <v>1</v>
      </c>
      <c r="D1324">
        <v>2024</v>
      </c>
      <c r="E1324" cm="1">
        <f t="array" ref="E1324">_xlfn.XLOOKUP(Table2[[#This Row],[college]]&amp;Table2[[#This Row],[division]]&amp;Table2[[#This Row],[year]],
Teams[college]&amp;Teams[division]&amp;Teams[year],
Teams[placing], "NA")</f>
        <v>3</v>
      </c>
      <c r="F1324" s="1" cm="1">
        <f t="array" ref="F1324">_xlfn.XLOOKUP(Table2[[#This Row],[college]]&amp;Table2[[#This Row],[division]]&amp;Table2[[#This Row],[year]],
Teams[college]&amp;Teams[division]&amp;Teams[year],
Teams[finish], "NA")</f>
        <v>0.55138888888888893</v>
      </c>
    </row>
    <row r="1325" spans="1:6" x14ac:dyDescent="0.3">
      <c r="A1325" t="s">
        <v>490</v>
      </c>
      <c r="B1325" t="s">
        <v>48</v>
      </c>
      <c r="C1325">
        <v>2</v>
      </c>
      <c r="D1325">
        <v>2023</v>
      </c>
      <c r="E1325" cm="1">
        <f t="array" ref="E1325">_xlfn.XLOOKUP(Table2[[#This Row],[college]]&amp;Table2[[#This Row],[division]]&amp;Table2[[#This Row],[year]],
Teams[college]&amp;Teams[division]&amp;Teams[year],
Teams[placing], "NA")</f>
        <v>4</v>
      </c>
      <c r="F1325" s="1" cm="1">
        <f t="array" ref="F1325">_xlfn.XLOOKUP(Table2[[#This Row],[college]]&amp;Table2[[#This Row],[division]]&amp;Table2[[#This Row],[year]],
Teams[college]&amp;Teams[division]&amp;Teams[year],
Teams[finish], "NA")</f>
        <v>0.59722222222222221</v>
      </c>
    </row>
    <row r="1326" spans="1:6" x14ac:dyDescent="0.3">
      <c r="A1326" t="s">
        <v>544</v>
      </c>
      <c r="B1326" t="s">
        <v>19</v>
      </c>
      <c r="C1326">
        <v>7</v>
      </c>
      <c r="D1326">
        <v>2022</v>
      </c>
      <c r="E1326" cm="1">
        <f t="array" ref="E1326">_xlfn.XLOOKUP(Table2[[#This Row],[college]]&amp;Table2[[#This Row],[division]]&amp;Table2[[#This Row],[year]],
Teams[college]&amp;Teams[division]&amp;Teams[year],
Teams[placing], "NA")</f>
        <v>4</v>
      </c>
      <c r="F1326" s="1" cm="1">
        <f t="array" ref="F1326">_xlfn.XLOOKUP(Table2[[#This Row],[college]]&amp;Table2[[#This Row],[division]]&amp;Table2[[#This Row],[year]],
Teams[college]&amp;Teams[division]&amp;Teams[year],
Teams[finish], "NA")</f>
        <v>0.45972222222222225</v>
      </c>
    </row>
    <row r="1327" spans="1:6" x14ac:dyDescent="0.3">
      <c r="A1327" t="s">
        <v>544</v>
      </c>
      <c r="B1327" t="s">
        <v>19</v>
      </c>
      <c r="C1327">
        <v>6</v>
      </c>
      <c r="D1327">
        <v>2023</v>
      </c>
      <c r="E1327" cm="1">
        <f t="array" ref="E1327">_xlfn.XLOOKUP(Table2[[#This Row],[college]]&amp;Table2[[#This Row],[division]]&amp;Table2[[#This Row],[year]],
Teams[college]&amp;Teams[division]&amp;Teams[year],
Teams[placing], "NA")</f>
        <v>7</v>
      </c>
      <c r="F1327" s="1" cm="1">
        <f t="array" ref="F1327">_xlfn.XLOOKUP(Table2[[#This Row],[college]]&amp;Table2[[#This Row],[division]]&amp;Table2[[#This Row],[year]],
Teams[college]&amp;Teams[division]&amp;Teams[year],
Teams[finish], "NA")</f>
        <v>0.67152777777777772</v>
      </c>
    </row>
    <row r="1328" spans="1:6" x14ac:dyDescent="0.3">
      <c r="A1328" t="s">
        <v>280</v>
      </c>
      <c r="B1328" t="s">
        <v>266</v>
      </c>
      <c r="C1328">
        <v>3</v>
      </c>
      <c r="D1328">
        <v>2025</v>
      </c>
      <c r="E1328" t="str" cm="1">
        <f t="array" ref="E1328">_xlfn.XLOOKUP(Table2[[#This Row],[college]]&amp;Table2[[#This Row],[division]]&amp;Table2[[#This Row],[year]],
Teams[college]&amp;Teams[division]&amp;Teams[year],
Teams[placing], "NA")</f>
        <v>DNF</v>
      </c>
      <c r="F1328" s="1" t="str" cm="1">
        <f t="array" ref="F1328">_xlfn.XLOOKUP(Table2[[#This Row],[college]]&amp;Table2[[#This Row],[division]]&amp;Table2[[#This Row],[year]],
Teams[college]&amp;Teams[division]&amp;Teams[year],
Teams[finish], "NA")</f>
        <v>NA</v>
      </c>
    </row>
    <row r="1329" spans="1:6" x14ac:dyDescent="0.3">
      <c r="A1329" t="s">
        <v>280</v>
      </c>
      <c r="B1329" t="s">
        <v>266</v>
      </c>
      <c r="C1329">
        <v>2</v>
      </c>
      <c r="D1329">
        <v>2026</v>
      </c>
      <c r="E1329" cm="1">
        <f t="array" ref="E1329">_xlfn.XLOOKUP(Table2[[#This Row],[college]]&amp;Table2[[#This Row],[division]]&amp;Table2[[#This Row],[year]],
Teams[college]&amp;Teams[division]&amp;Teams[year],
Teams[placing], "NA")</f>
        <v>0</v>
      </c>
      <c r="F1329" s="1" cm="1">
        <f t="array" ref="F1329">_xlfn.XLOOKUP(Table2[[#This Row],[college]]&amp;Table2[[#This Row],[division]]&amp;Table2[[#This Row],[year]],
Teams[college]&amp;Teams[division]&amp;Teams[year],
Teams[finish], "NA")</f>
        <v>0</v>
      </c>
    </row>
    <row r="1330" spans="1:6" x14ac:dyDescent="0.3">
      <c r="A1330" t="s">
        <v>985</v>
      </c>
      <c r="B1330" t="s">
        <v>241</v>
      </c>
      <c r="C1330">
        <v>7</v>
      </c>
      <c r="D1330">
        <v>2026</v>
      </c>
      <c r="E1330" cm="1">
        <f t="array" ref="E1330">_xlfn.XLOOKUP(Table2[[#This Row],[college]]&amp;Table2[[#This Row],[division]]&amp;Table2[[#This Row],[year]],
Teams[college]&amp;Teams[division]&amp;Teams[year],
Teams[placing], "NA")</f>
        <v>0</v>
      </c>
      <c r="F1330" s="1" cm="1">
        <f t="array" ref="F1330">_xlfn.XLOOKUP(Table2[[#This Row],[college]]&amp;Table2[[#This Row],[division]]&amp;Table2[[#This Row],[year]],
Teams[college]&amp;Teams[division]&amp;Teams[year],
Teams[finish], "NA")</f>
        <v>0</v>
      </c>
    </row>
    <row r="1331" spans="1:6" x14ac:dyDescent="0.3">
      <c r="A1331" t="s">
        <v>298</v>
      </c>
      <c r="B1331" t="s">
        <v>241</v>
      </c>
      <c r="C1331">
        <v>6</v>
      </c>
      <c r="D1331">
        <v>2025</v>
      </c>
      <c r="E1331" cm="1">
        <f t="array" ref="E1331">_xlfn.XLOOKUP(Table2[[#This Row],[college]]&amp;Table2[[#This Row],[division]]&amp;Table2[[#This Row],[year]],
Teams[college]&amp;Teams[division]&amp;Teams[year],
Teams[placing], "NA")</f>
        <v>8</v>
      </c>
      <c r="F1331" s="1" cm="1">
        <f t="array" ref="F1331">_xlfn.XLOOKUP(Table2[[#This Row],[college]]&amp;Table2[[#This Row],[division]]&amp;Table2[[#This Row],[year]],
Teams[college]&amp;Teams[division]&amp;Teams[year],
Teams[finish], "NA")</f>
        <v>0.67152777777777772</v>
      </c>
    </row>
    <row r="1332" spans="1:6" x14ac:dyDescent="0.3">
      <c r="A1332" t="s">
        <v>659</v>
      </c>
      <c r="B1332" t="s">
        <v>137</v>
      </c>
      <c r="C1332">
        <v>2</v>
      </c>
      <c r="D1332">
        <v>2022</v>
      </c>
      <c r="E1332" t="str" cm="1">
        <f t="array" ref="E1332">_xlfn.XLOOKUP(Table2[[#This Row],[college]]&amp;Table2[[#This Row],[division]]&amp;Table2[[#This Row],[year]],
Teams[college]&amp;Teams[division]&amp;Teams[year],
Teams[placing], "NA")</f>
        <v>DNF</v>
      </c>
      <c r="F1332" s="1" t="str" cm="1">
        <f t="array" ref="F1332">_xlfn.XLOOKUP(Table2[[#This Row],[college]]&amp;Table2[[#This Row],[division]]&amp;Table2[[#This Row],[year]],
Teams[college]&amp;Teams[division]&amp;Teams[year],
Teams[finish], "NA")</f>
        <v>NA</v>
      </c>
    </row>
    <row r="1333" spans="1:6" x14ac:dyDescent="0.3">
      <c r="A1333" t="s">
        <v>440</v>
      </c>
      <c r="B1333" t="s">
        <v>137</v>
      </c>
      <c r="C1333">
        <v>2</v>
      </c>
      <c r="D1333">
        <v>2024</v>
      </c>
      <c r="E1333" cm="1">
        <f t="array" ref="E1333">_xlfn.XLOOKUP(Table2[[#This Row],[college]]&amp;Table2[[#This Row],[division]]&amp;Table2[[#This Row],[year]],
Teams[college]&amp;Teams[division]&amp;Teams[year],
Teams[placing], "NA")</f>
        <v>3</v>
      </c>
      <c r="F1333" s="1" cm="1">
        <f t="array" ref="F1333">_xlfn.XLOOKUP(Table2[[#This Row],[college]]&amp;Table2[[#This Row],[division]]&amp;Table2[[#This Row],[year]],
Teams[college]&amp;Teams[division]&amp;Teams[year],
Teams[finish], "NA")</f>
        <v>0.52916666666666667</v>
      </c>
    </row>
    <row r="1334" spans="1:6" x14ac:dyDescent="0.3">
      <c r="A1334" t="s">
        <v>801</v>
      </c>
      <c r="B1334" t="s">
        <v>266</v>
      </c>
      <c r="C1334">
        <v>1</v>
      </c>
      <c r="D1334">
        <v>2026</v>
      </c>
      <c r="E1334" cm="1">
        <f t="array" ref="E1334">_xlfn.XLOOKUP(Table2[[#This Row],[college]]&amp;Table2[[#This Row],[division]]&amp;Table2[[#This Row],[year]],
Teams[college]&amp;Teams[division]&amp;Teams[year],
Teams[placing], "NA")</f>
        <v>0</v>
      </c>
      <c r="F1334" s="1" cm="1">
        <f t="array" ref="F1334">_xlfn.XLOOKUP(Table2[[#This Row],[college]]&amp;Table2[[#This Row],[division]]&amp;Table2[[#This Row],[year]],
Teams[college]&amp;Teams[division]&amp;Teams[year],
Teams[finish], "NA")</f>
        <v>0</v>
      </c>
    </row>
    <row r="1335" spans="1:6" x14ac:dyDescent="0.3">
      <c r="A1335" t="s">
        <v>270</v>
      </c>
      <c r="B1335" t="s">
        <v>250</v>
      </c>
      <c r="C1335">
        <v>4</v>
      </c>
      <c r="D1335">
        <v>2025</v>
      </c>
      <c r="E1335" cm="1">
        <f t="array" ref="E1335">_xlfn.XLOOKUP(Table2[[#This Row],[college]]&amp;Table2[[#This Row],[division]]&amp;Table2[[#This Row],[year]],
Teams[college]&amp;Teams[division]&amp;Teams[year],
Teams[placing], "NA")</f>
        <v>8</v>
      </c>
      <c r="F1335" s="1" cm="1">
        <f t="array" ref="F1335">_xlfn.XLOOKUP(Table2[[#This Row],[college]]&amp;Table2[[#This Row],[division]]&amp;Table2[[#This Row],[year]],
Teams[college]&amp;Teams[division]&amp;Teams[year],
Teams[finish], "NA")</f>
        <v>0.6875</v>
      </c>
    </row>
    <row r="1336" spans="1:6" x14ac:dyDescent="0.3">
      <c r="A1336" t="s">
        <v>51</v>
      </c>
      <c r="B1336" t="s">
        <v>48</v>
      </c>
      <c r="C1336">
        <v>5</v>
      </c>
      <c r="D1336">
        <v>2025</v>
      </c>
      <c r="E1336" cm="1">
        <f t="array" ref="E1336">_xlfn.XLOOKUP(Table2[[#This Row],[college]]&amp;Table2[[#This Row],[division]]&amp;Table2[[#This Row],[year]],
Teams[college]&amp;Teams[division]&amp;Teams[year],
Teams[placing], "NA")</f>
        <v>2</v>
      </c>
      <c r="F1336" s="1" cm="1">
        <f t="array" ref="F1336">_xlfn.XLOOKUP(Table2[[#This Row],[college]]&amp;Table2[[#This Row],[division]]&amp;Table2[[#This Row],[year]],
Teams[college]&amp;Teams[division]&amp;Teams[year],
Teams[finish], "NA")</f>
        <v>0.43819444444444444</v>
      </c>
    </row>
    <row r="1337" spans="1:6" x14ac:dyDescent="0.3">
      <c r="A1337" t="s">
        <v>864</v>
      </c>
      <c r="B1337" t="s">
        <v>15</v>
      </c>
      <c r="C1337">
        <v>4</v>
      </c>
      <c r="D1337">
        <v>2026</v>
      </c>
      <c r="E1337" cm="1">
        <f t="array" ref="E1337">_xlfn.XLOOKUP(Table2[[#This Row],[college]]&amp;Table2[[#This Row],[division]]&amp;Table2[[#This Row],[year]],
Teams[college]&amp;Teams[division]&amp;Teams[year],
Teams[placing], "NA")</f>
        <v>0</v>
      </c>
      <c r="F1337" s="1" cm="1">
        <f t="array" ref="F1337">_xlfn.XLOOKUP(Table2[[#This Row],[college]]&amp;Table2[[#This Row],[division]]&amp;Table2[[#This Row],[year]],
Teams[college]&amp;Teams[division]&amp;Teams[year],
Teams[finish], "NA")</f>
        <v>0</v>
      </c>
    </row>
    <row r="1338" spans="1:6" x14ac:dyDescent="0.3">
      <c r="A1338" t="s">
        <v>88</v>
      </c>
      <c r="B1338" t="s">
        <v>755</v>
      </c>
      <c r="C1338">
        <v>5</v>
      </c>
      <c r="D1338">
        <v>2025</v>
      </c>
      <c r="E1338" t="str" cm="1">
        <f t="array" ref="E1338">_xlfn.XLOOKUP(Table2[[#This Row],[college]]&amp;Table2[[#This Row],[division]]&amp;Table2[[#This Row],[year]],
Teams[college]&amp;Teams[division]&amp;Teams[year],
Teams[placing], "NA")</f>
        <v>NA</v>
      </c>
      <c r="F1338" s="1" cm="1">
        <f t="array" ref="F1338">_xlfn.XLOOKUP(Table2[[#This Row],[college]]&amp;Table2[[#This Row],[division]]&amp;Table2[[#This Row],[year]],
Teams[college]&amp;Teams[division]&amp;Teams[year],
Teams[finish], "NA")</f>
        <v>0.50208333333333333</v>
      </c>
    </row>
    <row r="1339" spans="1:6" x14ac:dyDescent="0.3">
      <c r="A1339" t="s">
        <v>50</v>
      </c>
      <c r="B1339" t="s">
        <v>48</v>
      </c>
      <c r="C1339">
        <v>5</v>
      </c>
      <c r="D1339">
        <v>2025</v>
      </c>
      <c r="E1339" cm="1">
        <f t="array" ref="E1339">_xlfn.XLOOKUP(Table2[[#This Row],[college]]&amp;Table2[[#This Row],[division]]&amp;Table2[[#This Row],[year]],
Teams[college]&amp;Teams[division]&amp;Teams[year],
Teams[placing], "NA")</f>
        <v>2</v>
      </c>
      <c r="F1339" s="1" cm="1">
        <f t="array" ref="F1339">_xlfn.XLOOKUP(Table2[[#This Row],[college]]&amp;Table2[[#This Row],[division]]&amp;Table2[[#This Row],[year]],
Teams[college]&amp;Teams[division]&amp;Teams[year],
Teams[finish], "NA")</f>
        <v>0.43819444444444444</v>
      </c>
    </row>
    <row r="1340" spans="1:6" x14ac:dyDescent="0.3">
      <c r="A1340" t="s">
        <v>679</v>
      </c>
      <c r="B1340" t="s">
        <v>19</v>
      </c>
      <c r="C1340">
        <v>5</v>
      </c>
      <c r="D1340">
        <v>2022</v>
      </c>
      <c r="E1340" cm="1">
        <f t="array" ref="E1340">_xlfn.XLOOKUP(Table2[[#This Row],[college]]&amp;Table2[[#This Row],[division]]&amp;Table2[[#This Row],[year]],
Teams[college]&amp;Teams[division]&amp;Teams[year],
Teams[placing], "NA")</f>
        <v>3</v>
      </c>
      <c r="F1340" s="1" cm="1">
        <f t="array" ref="F1340">_xlfn.XLOOKUP(Table2[[#This Row],[college]]&amp;Table2[[#This Row],[division]]&amp;Table2[[#This Row],[year]],
Teams[college]&amp;Teams[division]&amp;Teams[year],
Teams[finish], "NA")</f>
        <v>0.51944444444444449</v>
      </c>
    </row>
    <row r="1341" spans="1:6" x14ac:dyDescent="0.3">
      <c r="A1341" t="s">
        <v>134</v>
      </c>
      <c r="B1341" t="s">
        <v>132</v>
      </c>
      <c r="C1341">
        <v>6</v>
      </c>
      <c r="D1341">
        <v>2025</v>
      </c>
      <c r="E1341" cm="1">
        <f t="array" ref="E1341">_xlfn.XLOOKUP(Table2[[#This Row],[college]]&amp;Table2[[#This Row],[division]]&amp;Table2[[#This Row],[year]],
Teams[college]&amp;Teams[division]&amp;Teams[year],
Teams[placing], "NA")</f>
        <v>1</v>
      </c>
      <c r="F1341" s="1" cm="1">
        <f t="array" ref="F1341">_xlfn.XLOOKUP(Table2[[#This Row],[college]]&amp;Table2[[#This Row],[division]]&amp;Table2[[#This Row],[year]],
Teams[college]&amp;Teams[division]&amp;Teams[year],
Teams[finish], "NA")</f>
        <v>0.48888888888888887</v>
      </c>
    </row>
    <row r="1342" spans="1:6" x14ac:dyDescent="0.3">
      <c r="A1342" t="s">
        <v>411</v>
      </c>
      <c r="B1342" t="s">
        <v>10</v>
      </c>
      <c r="C1342">
        <v>4</v>
      </c>
      <c r="D1342">
        <v>2023</v>
      </c>
      <c r="E1342" cm="1">
        <f t="array" ref="E1342">_xlfn.XLOOKUP(Table2[[#This Row],[college]]&amp;Table2[[#This Row],[division]]&amp;Table2[[#This Row],[year]],
Teams[college]&amp;Teams[division]&amp;Teams[year],
Teams[placing], "NA")</f>
        <v>3</v>
      </c>
      <c r="F1342" s="1" cm="1">
        <f t="array" ref="F1342">_xlfn.XLOOKUP(Table2[[#This Row],[college]]&amp;Table2[[#This Row],[division]]&amp;Table2[[#This Row],[year]],
Teams[college]&amp;Teams[division]&amp;Teams[year],
Teams[finish], "NA")</f>
        <v>0.56944444444444442</v>
      </c>
    </row>
    <row r="1343" spans="1:6" x14ac:dyDescent="0.3">
      <c r="A1343" t="s">
        <v>411</v>
      </c>
      <c r="B1343" t="s">
        <v>10</v>
      </c>
      <c r="C1343">
        <v>2</v>
      </c>
      <c r="D1343">
        <v>2024</v>
      </c>
      <c r="E1343" cm="1">
        <f t="array" ref="E1343">_xlfn.XLOOKUP(Table2[[#This Row],[college]]&amp;Table2[[#This Row],[division]]&amp;Table2[[#This Row],[year]],
Teams[college]&amp;Teams[division]&amp;Teams[year],
Teams[placing], "NA")</f>
        <v>5</v>
      </c>
      <c r="F1343" s="1" cm="1">
        <f t="array" ref="F1343">_xlfn.XLOOKUP(Table2[[#This Row],[college]]&amp;Table2[[#This Row],[division]]&amp;Table2[[#This Row],[year]],
Teams[college]&amp;Teams[division]&amp;Teams[year],
Teams[finish], "NA")</f>
        <v>0.57916666666666672</v>
      </c>
    </row>
    <row r="1344" spans="1:6" x14ac:dyDescent="0.3">
      <c r="A1344" t="s">
        <v>39</v>
      </c>
      <c r="B1344" t="s">
        <v>754</v>
      </c>
      <c r="C1344">
        <v>6</v>
      </c>
      <c r="D1344">
        <v>2025</v>
      </c>
      <c r="E1344" t="str" cm="1">
        <f t="array" ref="E1344">_xlfn.XLOOKUP(Table2[[#This Row],[college]]&amp;Table2[[#This Row],[division]]&amp;Table2[[#This Row],[year]],
Teams[college]&amp;Teams[division]&amp;Teams[year],
Teams[placing], "NA")</f>
        <v>NA</v>
      </c>
      <c r="F1344" s="1" cm="1">
        <f t="array" ref="F1344">_xlfn.XLOOKUP(Table2[[#This Row],[college]]&amp;Table2[[#This Row],[division]]&amp;Table2[[#This Row],[year]],
Teams[college]&amp;Teams[division]&amp;Teams[year],
Teams[finish], "NA")</f>
        <v>0.53194444444444444</v>
      </c>
    </row>
    <row r="1345" spans="1:6" x14ac:dyDescent="0.3">
      <c r="A1345" t="s">
        <v>632</v>
      </c>
      <c r="B1345" t="s">
        <v>123</v>
      </c>
      <c r="C1345">
        <v>2</v>
      </c>
      <c r="D1345">
        <v>2023</v>
      </c>
      <c r="E1345" cm="1">
        <f t="array" ref="E1345">_xlfn.XLOOKUP(Table2[[#This Row],[college]]&amp;Table2[[#This Row],[division]]&amp;Table2[[#This Row],[year]],
Teams[college]&amp;Teams[division]&amp;Teams[year],
Teams[placing], "NA")</f>
        <v>1</v>
      </c>
      <c r="F1345" s="1" cm="1">
        <f t="array" ref="F1345">_xlfn.XLOOKUP(Table2[[#This Row],[college]]&amp;Table2[[#This Row],[division]]&amp;Table2[[#This Row],[year]],
Teams[college]&amp;Teams[division]&amp;Teams[year],
Teams[finish], "NA")</f>
        <v>0.47013888888888888</v>
      </c>
    </row>
    <row r="1346" spans="1:6" x14ac:dyDescent="0.3">
      <c r="A1346" t="s">
        <v>609</v>
      </c>
      <c r="B1346" t="s">
        <v>250</v>
      </c>
      <c r="C1346">
        <v>7</v>
      </c>
      <c r="D1346">
        <v>2023</v>
      </c>
      <c r="E1346" cm="1">
        <f t="array" ref="E1346">_xlfn.XLOOKUP(Table2[[#This Row],[college]]&amp;Table2[[#This Row],[division]]&amp;Table2[[#This Row],[year]],
Teams[college]&amp;Teams[division]&amp;Teams[year],
Teams[placing], "NA")</f>
        <v>10</v>
      </c>
      <c r="F1346" s="1" cm="1">
        <f t="array" ref="F1346">_xlfn.XLOOKUP(Table2[[#This Row],[college]]&amp;Table2[[#This Row],[division]]&amp;Table2[[#This Row],[year]],
Teams[college]&amp;Teams[division]&amp;Teams[year],
Teams[finish], "NA")</f>
        <v>0.6743055555555556</v>
      </c>
    </row>
    <row r="1347" spans="1:6" x14ac:dyDescent="0.3">
      <c r="A1347" t="s">
        <v>638</v>
      </c>
      <c r="B1347" t="s">
        <v>137</v>
      </c>
      <c r="C1347">
        <v>7</v>
      </c>
      <c r="D1347">
        <v>2023</v>
      </c>
      <c r="E1347" cm="1">
        <f t="array" ref="E1347">_xlfn.XLOOKUP(Table2[[#This Row],[college]]&amp;Table2[[#This Row],[division]]&amp;Table2[[#This Row],[year]],
Teams[college]&amp;Teams[division]&amp;Teams[year],
Teams[placing], "NA")</f>
        <v>3</v>
      </c>
      <c r="F1347" s="1" cm="1">
        <f t="array" ref="F1347">_xlfn.XLOOKUP(Table2[[#This Row],[college]]&amp;Table2[[#This Row],[division]]&amp;Table2[[#This Row],[year]],
Teams[college]&amp;Teams[division]&amp;Teams[year],
Teams[finish], "NA")</f>
        <v>0.55347222222222225</v>
      </c>
    </row>
    <row r="1348" spans="1:6" x14ac:dyDescent="0.3">
      <c r="A1348" t="s">
        <v>638</v>
      </c>
      <c r="B1348" t="s">
        <v>137</v>
      </c>
      <c r="C1348">
        <v>2</v>
      </c>
      <c r="D1348">
        <v>2022</v>
      </c>
      <c r="E1348" t="str" cm="1">
        <f t="array" ref="E1348">_xlfn.XLOOKUP(Table2[[#This Row],[college]]&amp;Table2[[#This Row],[division]]&amp;Table2[[#This Row],[year]],
Teams[college]&amp;Teams[division]&amp;Teams[year],
Teams[placing], "NA")</f>
        <v>DNF</v>
      </c>
      <c r="F1348" s="1" t="str" cm="1">
        <f t="array" ref="F1348">_xlfn.XLOOKUP(Table2[[#This Row],[college]]&amp;Table2[[#This Row],[division]]&amp;Table2[[#This Row],[year]],
Teams[college]&amp;Teams[division]&amp;Teams[year],
Teams[finish], "NA")</f>
        <v>NA</v>
      </c>
    </row>
    <row r="1349" spans="1:6" x14ac:dyDescent="0.3">
      <c r="A1349" t="s">
        <v>455</v>
      </c>
      <c r="B1349" t="s">
        <v>241</v>
      </c>
      <c r="C1349">
        <v>4</v>
      </c>
      <c r="D1349">
        <v>2024</v>
      </c>
      <c r="E1349" t="str" cm="1">
        <f t="array" ref="E1349">_xlfn.XLOOKUP(Table2[[#This Row],[college]]&amp;Table2[[#This Row],[division]]&amp;Table2[[#This Row],[year]],
Teams[college]&amp;Teams[division]&amp;Teams[year],
Teams[placing], "NA")</f>
        <v>DNF</v>
      </c>
      <c r="F1349" s="1" t="str" cm="1">
        <f t="array" ref="F1349">_xlfn.XLOOKUP(Table2[[#This Row],[college]]&amp;Table2[[#This Row],[division]]&amp;Table2[[#This Row],[year]],
Teams[college]&amp;Teams[division]&amp;Teams[year],
Teams[finish], "NA")</f>
        <v>NA</v>
      </c>
    </row>
    <row r="1350" spans="1:6" x14ac:dyDescent="0.3">
      <c r="A1350" t="s">
        <v>412</v>
      </c>
      <c r="B1350" t="s">
        <v>10</v>
      </c>
      <c r="C1350">
        <v>3</v>
      </c>
      <c r="D1350">
        <v>2023</v>
      </c>
      <c r="E1350" cm="1">
        <f t="array" ref="E1350">_xlfn.XLOOKUP(Table2[[#This Row],[college]]&amp;Table2[[#This Row],[division]]&amp;Table2[[#This Row],[year]],
Teams[college]&amp;Teams[division]&amp;Teams[year],
Teams[placing], "NA")</f>
        <v>2</v>
      </c>
      <c r="F1350" s="1" cm="1">
        <f t="array" ref="F1350">_xlfn.XLOOKUP(Table2[[#This Row],[college]]&amp;Table2[[#This Row],[division]]&amp;Table2[[#This Row],[year]],
Teams[college]&amp;Teams[division]&amp;Teams[year],
Teams[finish], "NA")</f>
        <v>0.59375</v>
      </c>
    </row>
    <row r="1351" spans="1:6" x14ac:dyDescent="0.3">
      <c r="A1351" t="s">
        <v>412</v>
      </c>
      <c r="B1351" t="s">
        <v>10</v>
      </c>
      <c r="C1351">
        <v>3</v>
      </c>
      <c r="D1351">
        <v>2024</v>
      </c>
      <c r="E1351" t="str" cm="1">
        <f t="array" ref="E1351">_xlfn.XLOOKUP(Table2[[#This Row],[college]]&amp;Table2[[#This Row],[division]]&amp;Table2[[#This Row],[year]],
Teams[college]&amp;Teams[division]&amp;Teams[year],
Teams[placing], "NA")</f>
        <v>DNF</v>
      </c>
      <c r="F1351" s="1" t="str" cm="1">
        <f t="array" ref="F1351">_xlfn.XLOOKUP(Table2[[#This Row],[college]]&amp;Table2[[#This Row],[division]]&amp;Table2[[#This Row],[year]],
Teams[college]&amp;Teams[division]&amp;Teams[year],
Teams[finish], "NA")</f>
        <v>NA</v>
      </c>
    </row>
    <row r="1352" spans="1:6" x14ac:dyDescent="0.3">
      <c r="A1352" t="s">
        <v>519</v>
      </c>
      <c r="B1352" t="s">
        <v>5</v>
      </c>
      <c r="C1352">
        <v>7</v>
      </c>
      <c r="D1352">
        <v>2022</v>
      </c>
      <c r="E1352" cm="1">
        <f t="array" ref="E1352">_xlfn.XLOOKUP(Table2[[#This Row],[college]]&amp;Table2[[#This Row],[division]]&amp;Table2[[#This Row],[year]],
Teams[college]&amp;Teams[division]&amp;Teams[year],
Teams[placing], "NA")</f>
        <v>9</v>
      </c>
      <c r="F1352" s="1" cm="1">
        <f t="array" ref="F1352">_xlfn.XLOOKUP(Table2[[#This Row],[college]]&amp;Table2[[#This Row],[division]]&amp;Table2[[#This Row],[year]],
Teams[college]&amp;Teams[division]&amp;Teams[year],
Teams[finish], "NA")</f>
        <v>0.56805555555555554</v>
      </c>
    </row>
    <row r="1353" spans="1:6" x14ac:dyDescent="0.3">
      <c r="A1353" t="s">
        <v>645</v>
      </c>
      <c r="B1353" t="s">
        <v>754</v>
      </c>
      <c r="C1353">
        <v>5</v>
      </c>
      <c r="D1353">
        <v>2023</v>
      </c>
      <c r="E1353" t="str" cm="1">
        <f t="array" ref="E1353">_xlfn.XLOOKUP(Table2[[#This Row],[college]]&amp;Table2[[#This Row],[division]]&amp;Table2[[#This Row],[year]],
Teams[college]&amp;Teams[division]&amp;Teams[year],
Teams[placing], "NA")</f>
        <v>NA</v>
      </c>
      <c r="F1353" s="1" cm="1">
        <f t="array" ref="F1353">_xlfn.XLOOKUP(Table2[[#This Row],[college]]&amp;Table2[[#This Row],[division]]&amp;Table2[[#This Row],[year]],
Teams[college]&amp;Teams[division]&amp;Teams[year],
Teams[finish], "NA")</f>
        <v>0.61111111111111116</v>
      </c>
    </row>
    <row r="1354" spans="1:6" x14ac:dyDescent="0.3">
      <c r="A1354" t="s">
        <v>645</v>
      </c>
      <c r="B1354" t="s">
        <v>10</v>
      </c>
      <c r="C1354">
        <v>4</v>
      </c>
      <c r="D1354">
        <v>2022</v>
      </c>
      <c r="E1354" t="str" cm="1">
        <f t="array" ref="E1354">_xlfn.XLOOKUP(Table2[[#This Row],[college]]&amp;Table2[[#This Row],[division]]&amp;Table2[[#This Row],[year]],
Teams[college]&amp;Teams[division]&amp;Teams[year],
Teams[placing], "NA")</f>
        <v>DQ</v>
      </c>
      <c r="F1354" s="1" t="str" cm="1">
        <f t="array" ref="F1354">_xlfn.XLOOKUP(Table2[[#This Row],[college]]&amp;Table2[[#This Row],[division]]&amp;Table2[[#This Row],[year]],
Teams[college]&amp;Teams[division]&amp;Teams[year],
Teams[finish], "NA")</f>
        <v>NA</v>
      </c>
    </row>
    <row r="1355" spans="1:6" x14ac:dyDescent="0.3">
      <c r="A1355" t="s">
        <v>630</v>
      </c>
      <c r="B1355" t="s">
        <v>250</v>
      </c>
      <c r="C1355">
        <v>5</v>
      </c>
      <c r="D1355">
        <v>2022</v>
      </c>
      <c r="E1355" cm="1">
        <f t="array" ref="E1355">_xlfn.XLOOKUP(Table2[[#This Row],[college]]&amp;Table2[[#This Row],[division]]&amp;Table2[[#This Row],[year]],
Teams[college]&amp;Teams[division]&amp;Teams[year],
Teams[placing], "NA")</f>
        <v>4</v>
      </c>
      <c r="F1355" s="1" cm="1">
        <f t="array" ref="F1355">_xlfn.XLOOKUP(Table2[[#This Row],[college]]&amp;Table2[[#This Row],[division]]&amp;Table2[[#This Row],[year]],
Teams[college]&amp;Teams[division]&amp;Teams[year],
Teams[finish], "NA")</f>
        <v>0.52847222222222223</v>
      </c>
    </row>
    <row r="1356" spans="1:6" x14ac:dyDescent="0.3">
      <c r="A1356" t="s">
        <v>630</v>
      </c>
      <c r="B1356" t="s">
        <v>250</v>
      </c>
      <c r="C1356">
        <v>3</v>
      </c>
      <c r="D1356">
        <v>2023</v>
      </c>
      <c r="E1356" cm="1">
        <f t="array" ref="E1356">_xlfn.XLOOKUP(Table2[[#This Row],[college]]&amp;Table2[[#This Row],[division]]&amp;Table2[[#This Row],[year]],
Teams[college]&amp;Teams[division]&amp;Teams[year],
Teams[placing], "NA")</f>
        <v>2</v>
      </c>
      <c r="F1356" s="1" cm="1">
        <f t="array" ref="F1356">_xlfn.XLOOKUP(Table2[[#This Row],[college]]&amp;Table2[[#This Row],[division]]&amp;Table2[[#This Row],[year]],
Teams[college]&amp;Teams[division]&amp;Teams[year],
Teams[finish], "NA")</f>
        <v>0.59375</v>
      </c>
    </row>
    <row r="1357" spans="1:6" x14ac:dyDescent="0.3">
      <c r="A1357" t="s">
        <v>530</v>
      </c>
      <c r="B1357" t="s">
        <v>15</v>
      </c>
      <c r="C1357">
        <v>1</v>
      </c>
      <c r="D1357">
        <v>2023</v>
      </c>
      <c r="E1357" cm="1">
        <f t="array" ref="E1357">_xlfn.XLOOKUP(Table2[[#This Row],[college]]&amp;Table2[[#This Row],[division]]&amp;Table2[[#This Row],[year]],
Teams[college]&amp;Teams[division]&amp;Teams[year],
Teams[placing], "NA")</f>
        <v>1</v>
      </c>
      <c r="F1357" s="1" cm="1">
        <f t="array" ref="F1357">_xlfn.XLOOKUP(Table2[[#This Row],[college]]&amp;Table2[[#This Row],[division]]&amp;Table2[[#This Row],[year]],
Teams[college]&amp;Teams[division]&amp;Teams[year],
Teams[finish], "NA")</f>
        <v>0.52569444444444446</v>
      </c>
    </row>
    <row r="1358" spans="1:6" x14ac:dyDescent="0.3">
      <c r="A1358" t="s">
        <v>530</v>
      </c>
      <c r="B1358" t="s">
        <v>15</v>
      </c>
      <c r="C1358">
        <v>2</v>
      </c>
      <c r="D1358">
        <v>2022</v>
      </c>
      <c r="E1358" cm="1">
        <f t="array" ref="E1358">_xlfn.XLOOKUP(Table2[[#This Row],[college]]&amp;Table2[[#This Row],[division]]&amp;Table2[[#This Row],[year]],
Teams[college]&amp;Teams[division]&amp;Teams[year],
Teams[placing], "NA")</f>
        <v>2</v>
      </c>
      <c r="F1358" s="1" cm="1">
        <f t="array" ref="F1358">_xlfn.XLOOKUP(Table2[[#This Row],[college]]&amp;Table2[[#This Row],[division]]&amp;Table2[[#This Row],[year]],
Teams[college]&amp;Teams[division]&amp;Teams[year],
Teams[finish], "NA")</f>
        <v>0.67083333333333328</v>
      </c>
    </row>
    <row r="1359" spans="1:6" x14ac:dyDescent="0.3">
      <c r="A1359" t="s">
        <v>108</v>
      </c>
      <c r="B1359" t="s">
        <v>48</v>
      </c>
      <c r="C1359">
        <v>7</v>
      </c>
      <c r="D1359">
        <v>2025</v>
      </c>
      <c r="E1359" cm="1">
        <f t="array" ref="E1359">_xlfn.XLOOKUP(Table2[[#This Row],[college]]&amp;Table2[[#This Row],[division]]&amp;Table2[[#This Row],[year]],
Teams[college]&amp;Teams[division]&amp;Teams[year],
Teams[placing], "NA")</f>
        <v>9</v>
      </c>
      <c r="F1359" s="1" cm="1">
        <f t="array" ref="F1359">_xlfn.XLOOKUP(Table2[[#This Row],[college]]&amp;Table2[[#This Row],[division]]&amp;Table2[[#This Row],[year]],
Teams[college]&amp;Teams[division]&amp;Teams[year],
Teams[finish], "NA")</f>
        <v>0.6118055555555556</v>
      </c>
    </row>
    <row r="1360" spans="1:6" x14ac:dyDescent="0.3">
      <c r="A1360" t="s">
        <v>371</v>
      </c>
      <c r="B1360" t="s">
        <v>19</v>
      </c>
      <c r="C1360">
        <v>6</v>
      </c>
      <c r="D1360">
        <v>2024</v>
      </c>
      <c r="E1360" t="str" cm="1">
        <f t="array" ref="E1360">_xlfn.XLOOKUP(Table2[[#This Row],[college]]&amp;Table2[[#This Row],[division]]&amp;Table2[[#This Row],[year]],
Teams[college]&amp;Teams[division]&amp;Teams[year],
Teams[placing], "NA")</f>
        <v>DNF</v>
      </c>
      <c r="F1360" s="1" t="str" cm="1">
        <f t="array" ref="F1360">_xlfn.XLOOKUP(Table2[[#This Row],[college]]&amp;Table2[[#This Row],[division]]&amp;Table2[[#This Row],[year]],
Teams[college]&amp;Teams[division]&amp;Teams[year],
Teams[finish], "NA")</f>
        <v>NA</v>
      </c>
    </row>
    <row r="1361" spans="1:6" x14ac:dyDescent="0.3">
      <c r="A1361" t="s">
        <v>223</v>
      </c>
      <c r="B1361" t="s">
        <v>5</v>
      </c>
      <c r="C1361">
        <v>3</v>
      </c>
      <c r="D1361">
        <v>2025</v>
      </c>
      <c r="E1361" cm="1">
        <f t="array" ref="E1361">_xlfn.XLOOKUP(Table2[[#This Row],[college]]&amp;Table2[[#This Row],[division]]&amp;Table2[[#This Row],[year]],
Teams[college]&amp;Teams[division]&amp;Teams[year],
Teams[placing], "NA")</f>
        <v>3</v>
      </c>
      <c r="F1361" s="1" cm="1">
        <f t="array" ref="F1361">_xlfn.XLOOKUP(Table2[[#This Row],[college]]&amp;Table2[[#This Row],[division]]&amp;Table2[[#This Row],[year]],
Teams[college]&amp;Teams[division]&amp;Teams[year],
Teams[finish], "NA")</f>
        <v>0.52708333333333335</v>
      </c>
    </row>
    <row r="1362" spans="1:6" x14ac:dyDescent="0.3">
      <c r="A1362" t="s">
        <v>982</v>
      </c>
      <c r="B1362" t="s">
        <v>19</v>
      </c>
      <c r="C1362">
        <v>7</v>
      </c>
      <c r="D1362">
        <v>2026</v>
      </c>
      <c r="E1362" cm="1">
        <f t="array" ref="E1362">_xlfn.XLOOKUP(Table2[[#This Row],[college]]&amp;Table2[[#This Row],[division]]&amp;Table2[[#This Row],[year]],
Teams[college]&amp;Teams[division]&amp;Teams[year],
Teams[placing], "NA")</f>
        <v>0</v>
      </c>
      <c r="F1362" s="1" cm="1">
        <f t="array" ref="F1362">_xlfn.XLOOKUP(Table2[[#This Row],[college]]&amp;Table2[[#This Row],[division]]&amp;Table2[[#This Row],[year]],
Teams[college]&amp;Teams[division]&amp;Teams[year],
Teams[finish], "NA")</f>
        <v>0</v>
      </c>
    </row>
    <row r="1363" spans="1:6" x14ac:dyDescent="0.3">
      <c r="A1363" t="s">
        <v>889</v>
      </c>
      <c r="B1363" t="s">
        <v>266</v>
      </c>
      <c r="C1363">
        <v>5</v>
      </c>
      <c r="D1363">
        <v>2026</v>
      </c>
      <c r="E1363" cm="1">
        <f t="array" ref="E1363">_xlfn.XLOOKUP(Table2[[#This Row],[college]]&amp;Table2[[#This Row],[division]]&amp;Table2[[#This Row],[year]],
Teams[college]&amp;Teams[division]&amp;Teams[year],
Teams[placing], "NA")</f>
        <v>0</v>
      </c>
      <c r="F1363" s="1" cm="1">
        <f t="array" ref="F1363">_xlfn.XLOOKUP(Table2[[#This Row],[college]]&amp;Table2[[#This Row],[division]]&amp;Table2[[#This Row],[year]],
Teams[college]&amp;Teams[division]&amp;Teams[year],
Teams[finish], "NA")</f>
        <v>0</v>
      </c>
    </row>
    <row r="1364" spans="1:6" x14ac:dyDescent="0.3">
      <c r="A1364" t="s">
        <v>981</v>
      </c>
      <c r="B1364" t="s">
        <v>48</v>
      </c>
      <c r="C1364">
        <v>7</v>
      </c>
      <c r="D1364">
        <v>2026</v>
      </c>
      <c r="E1364" cm="1">
        <f t="array" ref="E1364">_xlfn.XLOOKUP(Table2[[#This Row],[college]]&amp;Table2[[#This Row],[division]]&amp;Table2[[#This Row],[year]],
Teams[college]&amp;Teams[division]&amp;Teams[year],
Teams[placing], "NA")</f>
        <v>0</v>
      </c>
      <c r="F1364" s="1" cm="1">
        <f t="array" ref="F1364">_xlfn.XLOOKUP(Table2[[#This Row],[college]]&amp;Table2[[#This Row],[division]]&amp;Table2[[#This Row],[year]],
Teams[college]&amp;Teams[division]&amp;Teams[year],
Teams[finish], "NA")</f>
        <v>0</v>
      </c>
    </row>
    <row r="1365" spans="1:6" x14ac:dyDescent="0.3">
      <c r="A1365" t="s">
        <v>827</v>
      </c>
      <c r="B1365" t="s">
        <v>19</v>
      </c>
      <c r="C1365">
        <v>3</v>
      </c>
      <c r="D1365">
        <v>2026</v>
      </c>
      <c r="E1365" cm="1">
        <f t="array" ref="E1365">_xlfn.XLOOKUP(Table2[[#This Row],[college]]&amp;Table2[[#This Row],[division]]&amp;Table2[[#This Row],[year]],
Teams[college]&amp;Teams[division]&amp;Teams[year],
Teams[placing], "NA")</f>
        <v>0</v>
      </c>
      <c r="F1365" s="1" cm="1">
        <f t="array" ref="F1365">_xlfn.XLOOKUP(Table2[[#This Row],[college]]&amp;Table2[[#This Row],[division]]&amp;Table2[[#This Row],[year]],
Teams[college]&amp;Teams[division]&amp;Teams[year],
Teams[finish], "NA")</f>
        <v>0</v>
      </c>
    </row>
    <row r="1366" spans="1:6" x14ac:dyDescent="0.3">
      <c r="A1366" t="s">
        <v>677</v>
      </c>
      <c r="B1366" t="s">
        <v>15</v>
      </c>
      <c r="C1366">
        <v>4</v>
      </c>
      <c r="D1366">
        <v>2022</v>
      </c>
      <c r="E1366" cm="1">
        <f t="array" ref="E1366">_xlfn.XLOOKUP(Table2[[#This Row],[college]]&amp;Table2[[#This Row],[division]]&amp;Table2[[#This Row],[year]],
Teams[college]&amp;Teams[division]&amp;Teams[year],
Teams[placing], "NA")</f>
        <v>1</v>
      </c>
      <c r="F1366" s="1" cm="1">
        <f t="array" ref="F1366">_xlfn.XLOOKUP(Table2[[#This Row],[college]]&amp;Table2[[#This Row],[division]]&amp;Table2[[#This Row],[year]],
Teams[college]&amp;Teams[division]&amp;Teams[year],
Teams[finish], "NA")</f>
        <v>0.4284722222222222</v>
      </c>
    </row>
    <row r="1367" spans="1:6" x14ac:dyDescent="0.3">
      <c r="A1367" t="s">
        <v>839</v>
      </c>
      <c r="B1367" t="s">
        <v>787</v>
      </c>
      <c r="C1367">
        <v>3</v>
      </c>
      <c r="D1367">
        <v>2026</v>
      </c>
      <c r="E1367" t="str" cm="1">
        <f t="array" ref="E1367">_xlfn.XLOOKUP(Table2[[#This Row],[college]]&amp;Table2[[#This Row],[division]]&amp;Table2[[#This Row],[year]],
Teams[college]&amp;Teams[division]&amp;Teams[year],
Teams[placing], "NA")</f>
        <v>NA</v>
      </c>
      <c r="F1367" s="1" t="str" cm="1">
        <f t="array" ref="F1367">_xlfn.XLOOKUP(Table2[[#This Row],[college]]&amp;Table2[[#This Row],[division]]&amp;Table2[[#This Row],[year]],
Teams[college]&amp;Teams[division]&amp;Teams[year],
Teams[finish], "NA")</f>
        <v>NA</v>
      </c>
    </row>
    <row r="1368" spans="1:6" x14ac:dyDescent="0.3">
      <c r="A1368" t="s">
        <v>978</v>
      </c>
      <c r="B1368" t="s">
        <v>132</v>
      </c>
      <c r="C1368">
        <v>7</v>
      </c>
      <c r="D1368">
        <v>2026</v>
      </c>
      <c r="E1368" cm="1">
        <f t="array" ref="E1368">_xlfn.XLOOKUP(Table2[[#This Row],[college]]&amp;Table2[[#This Row],[division]]&amp;Table2[[#This Row],[year]],
Teams[college]&amp;Teams[division]&amp;Teams[year],
Teams[placing], "NA")</f>
        <v>0</v>
      </c>
      <c r="F1368" s="1" cm="1">
        <f t="array" ref="F1368">_xlfn.XLOOKUP(Table2[[#This Row],[college]]&amp;Table2[[#This Row],[division]]&amp;Table2[[#This Row],[year]],
Teams[college]&amp;Teams[division]&amp;Teams[year],
Teams[finish], "NA")</f>
        <v>0</v>
      </c>
    </row>
    <row r="1369" spans="1:6" x14ac:dyDescent="0.3">
      <c r="A1369" t="s">
        <v>507</v>
      </c>
      <c r="B1369" t="s">
        <v>15</v>
      </c>
      <c r="C1369">
        <v>4</v>
      </c>
      <c r="D1369">
        <v>2022</v>
      </c>
      <c r="E1369" cm="1">
        <f t="array" ref="E1369">_xlfn.XLOOKUP(Table2[[#This Row],[college]]&amp;Table2[[#This Row],[division]]&amp;Table2[[#This Row],[year]],
Teams[college]&amp;Teams[division]&amp;Teams[year],
Teams[placing], "NA")</f>
        <v>1</v>
      </c>
      <c r="F1369" s="1" cm="1">
        <f t="array" ref="F1369">_xlfn.XLOOKUP(Table2[[#This Row],[college]]&amp;Table2[[#This Row],[division]]&amp;Table2[[#This Row],[year]],
Teams[college]&amp;Teams[division]&amp;Teams[year],
Teams[finish], "NA")</f>
        <v>0.4284722222222222</v>
      </c>
    </row>
    <row r="1370" spans="1:6" x14ac:dyDescent="0.3">
      <c r="A1370" t="s">
        <v>507</v>
      </c>
      <c r="B1370" t="s">
        <v>15</v>
      </c>
      <c r="C1370">
        <v>4</v>
      </c>
      <c r="D1370">
        <v>2023</v>
      </c>
      <c r="E1370" cm="1">
        <f t="array" ref="E1370">_xlfn.XLOOKUP(Table2[[#This Row],[college]]&amp;Table2[[#This Row],[division]]&amp;Table2[[#This Row],[year]],
Teams[college]&amp;Teams[division]&amp;Teams[year],
Teams[placing], "NA")</f>
        <v>5</v>
      </c>
      <c r="F1370" s="1" cm="1">
        <f t="array" ref="F1370">_xlfn.XLOOKUP(Table2[[#This Row],[college]]&amp;Table2[[#This Row],[division]]&amp;Table2[[#This Row],[year]],
Teams[college]&amp;Teams[division]&amp;Teams[year],
Teams[finish], "NA")</f>
        <v>0.63680555555555551</v>
      </c>
    </row>
    <row r="1371" spans="1:6" x14ac:dyDescent="0.3">
      <c r="A1371" t="s">
        <v>286</v>
      </c>
      <c r="B1371" t="s">
        <v>250</v>
      </c>
      <c r="C1371">
        <v>6</v>
      </c>
      <c r="D1371">
        <v>2025</v>
      </c>
      <c r="E1371" cm="1">
        <f t="array" ref="E1371">_xlfn.XLOOKUP(Table2[[#This Row],[college]]&amp;Table2[[#This Row],[division]]&amp;Table2[[#This Row],[year]],
Teams[college]&amp;Teams[division]&amp;Teams[year],
Teams[placing], "NA")</f>
        <v>5</v>
      </c>
      <c r="F1371" s="1" cm="1">
        <f t="array" ref="F1371">_xlfn.XLOOKUP(Table2[[#This Row],[college]]&amp;Table2[[#This Row],[division]]&amp;Table2[[#This Row],[year]],
Teams[college]&amp;Teams[division]&amp;Teams[year],
Teams[finish], "NA")</f>
        <v>0.5625</v>
      </c>
    </row>
    <row r="1372" spans="1:6" x14ac:dyDescent="0.3">
      <c r="A1372" t="s">
        <v>286</v>
      </c>
      <c r="B1372" t="s">
        <v>250</v>
      </c>
      <c r="C1372">
        <v>7</v>
      </c>
      <c r="D1372">
        <v>2024</v>
      </c>
      <c r="E1372" t="str" cm="1">
        <f t="array" ref="E1372">_xlfn.XLOOKUP(Table2[[#This Row],[college]]&amp;Table2[[#This Row],[division]]&amp;Table2[[#This Row],[year]],
Teams[college]&amp;Teams[division]&amp;Teams[year],
Teams[placing], "NA")</f>
        <v>DNF</v>
      </c>
      <c r="F1372" s="1" t="str" cm="1">
        <f t="array" ref="F1372">_xlfn.XLOOKUP(Table2[[#This Row],[college]]&amp;Table2[[#This Row],[division]]&amp;Table2[[#This Row],[year]],
Teams[college]&amp;Teams[division]&amp;Teams[year],
Teams[finish], "NA")</f>
        <v>NA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487F-6F1A-4DC3-B137-3B06225517B7}">
  <dimension ref="A1:I351"/>
  <sheetViews>
    <sheetView topLeftCell="A325" workbookViewId="0">
      <selection activeCell="C277" sqref="C277:C351"/>
    </sheetView>
  </sheetViews>
  <sheetFormatPr defaultRowHeight="14.4" x14ac:dyDescent="0.3"/>
  <cols>
    <col min="6" max="6" width="9.6640625" bestFit="1" customWidth="1"/>
    <col min="7" max="7" width="12.21875" style="7" bestFit="1" customWidth="1"/>
    <col min="8" max="8" width="11.33203125" style="7" bestFit="1" customWidth="1"/>
    <col min="9" max="9" width="8.88671875" style="6"/>
  </cols>
  <sheetData>
    <row r="1" spans="1:9" x14ac:dyDescent="0.3">
      <c r="A1" t="s">
        <v>2</v>
      </c>
      <c r="B1" t="s">
        <v>1</v>
      </c>
      <c r="C1" t="s">
        <v>3</v>
      </c>
      <c r="D1" t="s">
        <v>734</v>
      </c>
      <c r="E1" t="s">
        <v>750</v>
      </c>
      <c r="F1" t="s">
        <v>751</v>
      </c>
      <c r="G1" s="7" t="s">
        <v>753</v>
      </c>
      <c r="H1" s="7" t="s">
        <v>752</v>
      </c>
      <c r="I1" s="6" t="s">
        <v>749</v>
      </c>
    </row>
    <row r="2" spans="1:9" x14ac:dyDescent="0.3">
      <c r="A2" t="s">
        <v>15</v>
      </c>
      <c r="B2">
        <v>3</v>
      </c>
      <c r="C2">
        <v>2023</v>
      </c>
      <c r="D2" t="s">
        <v>736</v>
      </c>
      <c r="E2" t="s">
        <v>735</v>
      </c>
      <c r="F2" s="1">
        <f>AVERAGEIFS(Teams[finish],Teams[year],Teams[[#This Row],[year]],Teams[division],Teams[[#This Row],[division]],Teams[college],"&lt;&gt;Div *")</f>
        <v>0.59184027777777781</v>
      </c>
      <c r="G2" s="7" cm="1">
        <f t="array" ref="G2">MOD(Teams[[#This Row],[winners]]-_xlfn.XLOOKUP(1,(Table1[year]=Teams[[#This Row],[year]])*(Table1[division]=Teams[[#This Row],[division]]),Table1[drop]),1)*1440</f>
        <v>1032.25</v>
      </c>
      <c r="H2" s="7" t="e">
        <f>(_xlfn.XLOOKUP(Teams[[#This Row],[year]],Table1[year],Table1[cutoff])-Teams[[#This Row],[finish]])*1440</f>
        <v>#VALUE!</v>
      </c>
      <c r="I2" s="6">
        <v>0</v>
      </c>
    </row>
    <row r="3" spans="1:9" x14ac:dyDescent="0.3">
      <c r="A3" t="s">
        <v>15</v>
      </c>
      <c r="B3">
        <v>3</v>
      </c>
      <c r="C3">
        <v>2024</v>
      </c>
      <c r="D3" t="s">
        <v>737</v>
      </c>
      <c r="E3" t="s">
        <v>735</v>
      </c>
      <c r="F3" s="1">
        <f>AVERAGEIFS(Teams[finish],Teams[year],Teams[[#This Row],[year]],Teams[division],Teams[[#This Row],[division]],Teams[college],"&lt;&gt;Div *")</f>
        <v>0.63777777777777778</v>
      </c>
      <c r="G3" s="7" cm="1">
        <f t="array" ref="G3">MOD(Teams[[#This Row],[winners]]-_xlfn.XLOOKUP(1,(Table1[year]=Teams[[#This Row],[year]])*(Table1[division]=Teams[[#This Row],[division]]),Table1[drop]),1)*1440</f>
        <v>938.4</v>
      </c>
      <c r="H3" s="7" t="e">
        <f>(_xlfn.XLOOKUP(Teams[[#This Row],[year]],Table1[year],Table1[cutoff])-Teams[[#This Row],[finish]])*1440</f>
        <v>#VALUE!</v>
      </c>
      <c r="I3" s="6">
        <v>0</v>
      </c>
    </row>
    <row r="4" spans="1:9" x14ac:dyDescent="0.3">
      <c r="A4" t="s">
        <v>15</v>
      </c>
      <c r="B4">
        <v>6</v>
      </c>
      <c r="C4">
        <v>2025</v>
      </c>
      <c r="D4" t="s">
        <v>736</v>
      </c>
      <c r="E4" s="3" t="s">
        <v>735</v>
      </c>
      <c r="F4" s="2">
        <f>AVERAGEIFS(Teams[finish],Teams[year],Teams[[#This Row],[year]],Teams[division],Teams[[#This Row],[division]],Teams[college],"&lt;&gt;Div *")</f>
        <v>0.57067901234567897</v>
      </c>
      <c r="G4" s="8" cm="1">
        <f t="array" ref="G4">MOD(Teams[[#This Row],[winners]]-_xlfn.XLOOKUP(1,(Table1[year]=Teams[[#This Row],[year]])*(Table1[division]=Teams[[#This Row],[division]]),Table1[drop]),1)*1440</f>
        <v>699.77777777777771</v>
      </c>
      <c r="H4" s="8" t="e">
        <f>(_xlfn.XLOOKUP(Teams[[#This Row],[year]],Table1[year],Table1[cutoff])-Teams[[#This Row],[finish]])*1440</f>
        <v>#VALUE!</v>
      </c>
      <c r="I4" s="6">
        <v>0</v>
      </c>
    </row>
    <row r="5" spans="1:9" x14ac:dyDescent="0.3">
      <c r="A5" t="s">
        <v>123</v>
      </c>
      <c r="B5">
        <v>5</v>
      </c>
      <c r="C5">
        <v>2025</v>
      </c>
      <c r="D5">
        <v>3</v>
      </c>
      <c r="E5" s="2">
        <v>0.44722222222222224</v>
      </c>
      <c r="F5" s="2">
        <f>AVERAGEIFS(Teams[finish],Teams[year],Teams[[#This Row],[year]],Teams[division],Teams[[#This Row],[division]],Teams[college],"&lt;&gt;Div *")</f>
        <v>0.51717171717171717</v>
      </c>
      <c r="G5" s="8" cm="1">
        <f t="array" ref="G5">MOD(Teams[[#This Row],[winners]]-_xlfn.XLOOKUP(1,(Table1[year]=Teams[[#This Row],[year]])*(Table1[division]=Teams[[#This Row],[division]]),Table1[drop]),1)*1440</f>
        <v>741.72727272727275</v>
      </c>
      <c r="H5" s="8">
        <f>(_xlfn.XLOOKUP(Teams[[#This Row],[year]],Table1[year],Table1[cutoff])-Teams[[#This Row],[finish]])*1440</f>
        <v>376</v>
      </c>
      <c r="I5" s="6" cm="1">
        <f t="array" ref="I5">(Teams[[#This Row],[remaining]]+60)*Teams[[#This Row],[winners alt]]/_xlfn.XLOOKUP(1,(Table1[year]=Teams[[#This Row],[year]])*(Table1[division]=Teams[[#This Row],[division]]),Table1[available]) +50</f>
        <v>367.98730669527129</v>
      </c>
    </row>
    <row r="6" spans="1:9" x14ac:dyDescent="0.3">
      <c r="A6" t="s">
        <v>123</v>
      </c>
      <c r="B6">
        <v>2</v>
      </c>
      <c r="C6">
        <v>2023</v>
      </c>
      <c r="D6">
        <v>1</v>
      </c>
      <c r="E6" s="1">
        <v>0.47013888888888888</v>
      </c>
      <c r="F6" s="1">
        <f>AVERAGEIFS(Teams[finish],Teams[year],Teams[[#This Row],[year]],Teams[division],Teams[[#This Row],[division]],Teams[college],"&lt;&gt;Div *")</f>
        <v>0.54902777777777767</v>
      </c>
      <c r="G6" s="7" cm="1">
        <f t="array" ref="G6">MOD(Teams[[#This Row],[winners]]-_xlfn.XLOOKUP(1,(Table1[year]=Teams[[#This Row],[year]])*(Table1[division]=Teams[[#This Row],[division]]),Table1[drop]),1)*1440</f>
        <v>1030.5999999999997</v>
      </c>
      <c r="H6" s="7">
        <f>(_xlfn.XLOOKUP(Teams[[#This Row],[year]],Table1[year],Table1[cutoff])-Teams[[#This Row],[finish]])*1440</f>
        <v>313</v>
      </c>
      <c r="I6" s="6" cm="1">
        <f t="array" ref="I6">(Teams[[#This Row],[remaining]]+60)*Teams[[#This Row],[winners alt]]/_xlfn.XLOOKUP(1,(Table1[year]=Teams[[#This Row],[year]])*(Table1[division]=Teams[[#This Row],[division]]),Table1[available]) +50</f>
        <v>362.53154471544707</v>
      </c>
    </row>
    <row r="7" spans="1:9" x14ac:dyDescent="0.3">
      <c r="A7" t="s">
        <v>123</v>
      </c>
      <c r="B7">
        <v>5</v>
      </c>
      <c r="C7">
        <v>2022</v>
      </c>
      <c r="D7">
        <v>1</v>
      </c>
      <c r="E7" s="1">
        <v>0.44305555555555554</v>
      </c>
      <c r="F7" s="1">
        <f>AVERAGEIFS(Teams[finish],Teams[year],Teams[[#This Row],[year]],Teams[division],Teams[[#This Row],[division]],Teams[college],"&lt;&gt;Div *")</f>
        <v>0.54583333333333328</v>
      </c>
      <c r="G7" s="7" cm="1">
        <f t="array" ref="G7">MOD(Teams[[#This Row],[winners]]-_xlfn.XLOOKUP(1,(Table1[year]=Teams[[#This Row],[year]])*(Table1[division]=Teams[[#This Row],[division]]),Table1[drop]),1)*1440</f>
        <v>546</v>
      </c>
      <c r="H7" s="7">
        <f>(_xlfn.XLOOKUP(Teams[[#This Row],[year]],Table1[year],Table1[cutoff])-Teams[[#This Row],[finish]])*1440</f>
        <v>352</v>
      </c>
      <c r="I7" s="6" cm="1">
        <f t="array" ref="I7">(Teams[[#This Row],[remaining]]+60)*Teams[[#This Row],[winners alt]]/_xlfn.XLOOKUP(1,(Table1[year]=Teams[[#This Row],[year]])*(Table1[division]=Teams[[#This Row],[division]]),Table1[available]) +50</f>
        <v>349.93599999999998</v>
      </c>
    </row>
    <row r="8" spans="1:9" x14ac:dyDescent="0.3">
      <c r="A8" t="s">
        <v>132</v>
      </c>
      <c r="B8">
        <v>1</v>
      </c>
      <c r="C8">
        <v>2023</v>
      </c>
      <c r="D8" t="s">
        <v>736</v>
      </c>
      <c r="E8" t="s">
        <v>735</v>
      </c>
      <c r="F8" s="1">
        <f>AVERAGEIFS(Teams[finish],Teams[year],Teams[[#This Row],[year]],Teams[division],Teams[[#This Row],[division]],Teams[college],"&lt;&gt;Div *")</f>
        <v>0.61898148148148158</v>
      </c>
      <c r="G8" s="7" cm="1">
        <f t="array" ref="G8">MOD(Teams[[#This Row],[winners]]-_xlfn.XLOOKUP(1,(Table1[year]=Teams[[#This Row],[year]])*(Table1[division]=Teams[[#This Row],[division]]),Table1[drop]),1)*1440</f>
        <v>1176.3333333333335</v>
      </c>
      <c r="H8" s="7" t="e">
        <f>(_xlfn.XLOOKUP(Teams[[#This Row],[year]],Table1[year],Table1[cutoff])-Teams[[#This Row],[finish]])*1440</f>
        <v>#VALUE!</v>
      </c>
      <c r="I8" s="6">
        <v>0</v>
      </c>
    </row>
    <row r="9" spans="1:9" x14ac:dyDescent="0.3">
      <c r="A9" t="s">
        <v>132</v>
      </c>
      <c r="B9">
        <v>3</v>
      </c>
      <c r="C9">
        <v>2023</v>
      </c>
      <c r="D9" t="s">
        <v>736</v>
      </c>
      <c r="E9" t="s">
        <v>735</v>
      </c>
      <c r="F9" s="1">
        <f>AVERAGEIFS(Teams[finish],Teams[year],Teams[[#This Row],[year]],Teams[division],Teams[[#This Row],[division]],Teams[college],"&lt;&gt;Div *")</f>
        <v>0.59184027777777781</v>
      </c>
      <c r="G9" s="7" cm="1">
        <f t="array" ref="G9">MOD(Teams[[#This Row],[winners]]-_xlfn.XLOOKUP(1,(Table1[year]=Teams[[#This Row],[year]])*(Table1[division]=Teams[[#This Row],[division]]),Table1[drop]),1)*1440</f>
        <v>1032.25</v>
      </c>
      <c r="H9" s="7" t="e">
        <f>(_xlfn.XLOOKUP(Teams[[#This Row],[year]],Table1[year],Table1[cutoff])-Teams[[#This Row],[finish]])*1440</f>
        <v>#VALUE!</v>
      </c>
      <c r="I9" s="6">
        <v>0</v>
      </c>
    </row>
    <row r="10" spans="1:9" x14ac:dyDescent="0.3">
      <c r="A10" t="s">
        <v>132</v>
      </c>
      <c r="B10">
        <v>2</v>
      </c>
      <c r="C10">
        <v>2023</v>
      </c>
      <c r="D10" t="s">
        <v>736</v>
      </c>
      <c r="E10" t="s">
        <v>735</v>
      </c>
      <c r="F10" s="1">
        <f>AVERAGEIFS(Teams[finish],Teams[year],Teams[[#This Row],[year]],Teams[division],Teams[[#This Row],[division]],Teams[college],"&lt;&gt;Div *")</f>
        <v>0.54902777777777767</v>
      </c>
      <c r="G10" s="7" cm="1">
        <f t="array" ref="G10">MOD(Teams[[#This Row],[winners]]-_xlfn.XLOOKUP(1,(Table1[year]=Teams[[#This Row],[year]])*(Table1[division]=Teams[[#This Row],[division]]),Table1[drop]),1)*1440</f>
        <v>1030.5999999999997</v>
      </c>
      <c r="H10" s="7" t="e">
        <f>(_xlfn.XLOOKUP(Teams[[#This Row],[year]],Table1[year],Table1[cutoff])-Teams[[#This Row],[finish]])*1440</f>
        <v>#VALUE!</v>
      </c>
      <c r="I10" s="6">
        <v>0</v>
      </c>
    </row>
    <row r="11" spans="1:9" x14ac:dyDescent="0.3">
      <c r="A11" t="s">
        <v>132</v>
      </c>
      <c r="B11">
        <v>4</v>
      </c>
      <c r="C11">
        <v>2023</v>
      </c>
      <c r="D11" t="s">
        <v>736</v>
      </c>
      <c r="E11" t="s">
        <v>735</v>
      </c>
      <c r="F11" s="1">
        <f>AVERAGEIFS(Teams[finish],Teams[year],Teams[[#This Row],[year]],Teams[division],Teams[[#This Row],[division]],Teams[college],"&lt;&gt;Div *")</f>
        <v>0.59335317460317449</v>
      </c>
      <c r="G11" s="7" cm="1">
        <f t="array" ref="G11">MOD(Teams[[#This Row],[winners]]-_xlfn.XLOOKUP(1,(Table1[year]=Teams[[#This Row],[year]])*(Table1[division]=Teams[[#This Row],[division]]),Table1[drop]),1)*1440</f>
        <v>944.42857142857122</v>
      </c>
      <c r="H11" s="7" t="e">
        <f>(_xlfn.XLOOKUP(Teams[[#This Row],[year]],Table1[year],Table1[cutoff])-Teams[[#This Row],[finish]])*1440</f>
        <v>#VALUE!</v>
      </c>
      <c r="I11" s="6">
        <v>0</v>
      </c>
    </row>
    <row r="12" spans="1:9" x14ac:dyDescent="0.3">
      <c r="A12" t="s">
        <v>132</v>
      </c>
      <c r="B12">
        <v>5</v>
      </c>
      <c r="C12">
        <v>2023</v>
      </c>
      <c r="D12" t="s">
        <v>736</v>
      </c>
      <c r="E12" t="s">
        <v>735</v>
      </c>
      <c r="F12" s="1">
        <f>AVERAGEIFS(Teams[finish],Teams[year],Teams[[#This Row],[year]],Teams[division],Teams[[#This Row],[division]],Teams[college],"&lt;&gt;Div *")</f>
        <v>0.62942708333333341</v>
      </c>
      <c r="G12" s="7" cm="1">
        <f t="array" ref="G12">MOD(Teams[[#This Row],[winners]]-_xlfn.XLOOKUP(1,(Table1[year]=Teams[[#This Row],[year]])*(Table1[division]=Teams[[#This Row],[division]]),Table1[drop]),1)*1440</f>
        <v>876.37500000000011</v>
      </c>
      <c r="H12" s="7" t="e">
        <f>(_xlfn.XLOOKUP(Teams[[#This Row],[year]],Table1[year],Table1[cutoff])-Teams[[#This Row],[finish]])*1440</f>
        <v>#VALUE!</v>
      </c>
      <c r="I12" s="6">
        <v>0</v>
      </c>
    </row>
    <row r="13" spans="1:9" x14ac:dyDescent="0.3">
      <c r="A13" t="s">
        <v>132</v>
      </c>
      <c r="B13">
        <v>6</v>
      </c>
      <c r="C13">
        <v>2023</v>
      </c>
      <c r="D13" t="s">
        <v>736</v>
      </c>
      <c r="E13" t="s">
        <v>735</v>
      </c>
      <c r="F13" s="1">
        <f>AVERAGEIFS(Teams[finish],Teams[year],Teams[[#This Row],[year]],Teams[division],Teams[[#This Row],[division]],Teams[college],"&lt;&gt;Div *")</f>
        <v>0.63140432098765431</v>
      </c>
      <c r="G13" s="7" cm="1">
        <f t="array" ref="G13">MOD(Teams[[#This Row],[winners]]-_xlfn.XLOOKUP(1,(Table1[year]=Teams[[#This Row],[year]])*(Table1[division]=Teams[[#This Row],[division]]),Table1[drop]),1)*1440</f>
        <v>849.22222222222229</v>
      </c>
      <c r="H13" s="7" t="e">
        <f>(_xlfn.XLOOKUP(Teams[[#This Row],[year]],Table1[year],Table1[cutoff])-Teams[[#This Row],[finish]])*1440</f>
        <v>#VALUE!</v>
      </c>
      <c r="I13" s="6">
        <v>0</v>
      </c>
    </row>
    <row r="14" spans="1:9" x14ac:dyDescent="0.3">
      <c r="A14" t="s">
        <v>755</v>
      </c>
      <c r="B14">
        <v>2</v>
      </c>
      <c r="C14">
        <v>2024</v>
      </c>
      <c r="D14" t="s">
        <v>736</v>
      </c>
      <c r="E14" t="s">
        <v>735</v>
      </c>
      <c r="F14" s="1">
        <f>AVERAGEIFS(Teams[finish],Teams[year],Teams[[#This Row],[year]],Teams[division],Teams[[#This Row],[division]],Teams[college],"&lt;&gt;Div *")</f>
        <v>0.54940476190476184</v>
      </c>
      <c r="G14" s="7" cm="1">
        <f t="array" ref="G14">MOD(Teams[[#This Row],[winners]]-_xlfn.XLOOKUP(1,(Table1[year]=Teams[[#This Row],[year]])*(Table1[division]=Teams[[#This Row],[division]]),Table1[drop]),1)*1440</f>
        <v>876.14285714285711</v>
      </c>
      <c r="H14" s="7" t="e">
        <f>(_xlfn.XLOOKUP(Teams[[#This Row],[year]],Table1[year],Table1[cutoff])-Teams[[#This Row],[finish]])*1440</f>
        <v>#VALUE!</v>
      </c>
      <c r="I14" s="6">
        <v>0</v>
      </c>
    </row>
    <row r="15" spans="1:9" x14ac:dyDescent="0.3">
      <c r="A15" t="s">
        <v>755</v>
      </c>
      <c r="B15">
        <v>4</v>
      </c>
      <c r="C15">
        <v>2023</v>
      </c>
      <c r="D15" s="1" t="s">
        <v>736</v>
      </c>
      <c r="E15" t="s">
        <v>735</v>
      </c>
      <c r="F15" s="1">
        <f>AVERAGEIFS(Teams[finish],Teams[year],Teams[[#This Row],[year]],Teams[division],Teams[[#This Row],[division]],Teams[college],"&lt;&gt;Div *")</f>
        <v>0.59335317460317449</v>
      </c>
      <c r="G15" s="7" cm="1">
        <f t="array" ref="G15">MOD(Teams[[#This Row],[winners]]-_xlfn.XLOOKUP(1,(Table1[year]=Teams[[#This Row],[year]])*(Table1[division]=Teams[[#This Row],[division]]),Table1[drop]),1)*1440</f>
        <v>944.42857142857122</v>
      </c>
      <c r="H15" s="7" t="e">
        <f>(_xlfn.XLOOKUP(Teams[[#This Row],[year]],Table1[year],Table1[cutoff])-Teams[[#This Row],[finish]])*1440</f>
        <v>#VALUE!</v>
      </c>
      <c r="I15" s="6">
        <v>0</v>
      </c>
    </row>
    <row r="16" spans="1:9" x14ac:dyDescent="0.3">
      <c r="A16" t="s">
        <v>758</v>
      </c>
      <c r="B16">
        <v>5</v>
      </c>
      <c r="C16">
        <v>2024</v>
      </c>
      <c r="D16" t="s">
        <v>736</v>
      </c>
      <c r="E16" t="s">
        <v>735</v>
      </c>
      <c r="F16" s="1">
        <f>AVERAGEIFS(Teams[finish],Teams[year],Teams[[#This Row],[year]],Teams[division],Teams[[#This Row],[division]],Teams[college],"&lt;&gt;Div *")</f>
        <v>0.61149691358024683</v>
      </c>
      <c r="G16" s="7" cm="1">
        <f t="array" ref="G16">MOD(Teams[[#This Row],[winners]]-_xlfn.XLOOKUP(1,(Table1[year]=Teams[[#This Row],[year]])*(Table1[division]=Teams[[#This Row],[division]]),Table1[drop]),1)*1440</f>
        <v>691.55555555555543</v>
      </c>
      <c r="H16" s="7" t="e">
        <f>(_xlfn.XLOOKUP(Teams[[#This Row],[year]],Table1[year],Table1[cutoff])-Teams[[#This Row],[finish]])*1440</f>
        <v>#VALUE!</v>
      </c>
      <c r="I16" s="6">
        <v>0</v>
      </c>
    </row>
    <row r="17" spans="1:9" x14ac:dyDescent="0.3">
      <c r="A17" t="s">
        <v>137</v>
      </c>
      <c r="B17">
        <v>1</v>
      </c>
      <c r="C17">
        <v>2024</v>
      </c>
      <c r="D17" t="s">
        <v>736</v>
      </c>
      <c r="E17" t="s">
        <v>735</v>
      </c>
      <c r="F17" s="1">
        <f>AVERAGEIFS(Teams[finish],Teams[year],Teams[[#This Row],[year]],Teams[division],Teams[[#This Row],[division]],Teams[college],"&lt;&gt;Div *")</f>
        <v>0.60277777777777775</v>
      </c>
      <c r="G17" s="7" cm="1">
        <f t="array" ref="G17">MOD(Teams[[#This Row],[winners]]-_xlfn.XLOOKUP(1,(Table1[year]=Teams[[#This Row],[year]])*(Table1[division]=Teams[[#This Row],[division]]),Table1[drop]),1)*1440</f>
        <v>1084</v>
      </c>
      <c r="H17" s="7" t="e">
        <f>(_xlfn.XLOOKUP(Teams[[#This Row],[year]],Table1[year],Table1[cutoff])-Teams[[#This Row],[finish]])*1440</f>
        <v>#VALUE!</v>
      </c>
      <c r="I17" s="6">
        <v>0</v>
      </c>
    </row>
    <row r="18" spans="1:9" x14ac:dyDescent="0.3">
      <c r="A18" t="s">
        <v>137</v>
      </c>
      <c r="B18">
        <v>2</v>
      </c>
      <c r="C18">
        <v>2022</v>
      </c>
      <c r="D18" t="s">
        <v>736</v>
      </c>
      <c r="E18" s="3" t="s">
        <v>735</v>
      </c>
      <c r="F18" s="2">
        <f>AVERAGEIFS(Teams[finish],Teams[year],Teams[[#This Row],[year]],Teams[division],Teams[[#This Row],[division]],Teams[college],"&lt;&gt;Div *")</f>
        <v>0.57986111111111105</v>
      </c>
      <c r="G18" s="8" cm="1">
        <f t="array" ref="G18">MOD(Teams[[#This Row],[winners]]-_xlfn.XLOOKUP(1,(Table1[year]=Teams[[#This Row],[year]])*(Table1[division]=Teams[[#This Row],[division]]),Table1[drop]),1)*1440</f>
        <v>892.99999999999989</v>
      </c>
      <c r="H18" s="8" t="e">
        <f>(_xlfn.XLOOKUP(Teams[[#This Row],[year]],Table1[year],Table1[cutoff])-Teams[[#This Row],[finish]])*1440</f>
        <v>#VALUE!</v>
      </c>
      <c r="I18" s="6">
        <v>0</v>
      </c>
    </row>
    <row r="19" spans="1:9" x14ac:dyDescent="0.3">
      <c r="A19" t="s">
        <v>137</v>
      </c>
      <c r="B19">
        <v>3</v>
      </c>
      <c r="C19">
        <v>2022</v>
      </c>
      <c r="D19" t="s">
        <v>736</v>
      </c>
      <c r="E19" s="3" t="s">
        <v>735</v>
      </c>
      <c r="F19" s="2">
        <f>AVERAGEIFS(Teams[finish],Teams[year],Teams[[#This Row],[year]],Teams[division],Teams[[#This Row],[division]],Teams[college],"&lt;&gt;Div *")</f>
        <v>0.4851388888888889</v>
      </c>
      <c r="G19" s="8" cm="1">
        <f t="array" ref="G19">MOD(Teams[[#This Row],[winners]]-_xlfn.XLOOKUP(1,(Table1[year]=Teams[[#This Row],[year]])*(Table1[division]=Teams[[#This Row],[division]]),Table1[drop]),1)*1440</f>
        <v>608.6</v>
      </c>
      <c r="H19" s="8" t="e">
        <f>(_xlfn.XLOOKUP(Teams[[#This Row],[year]],Table1[year],Table1[cutoff])-Teams[[#This Row],[finish]])*1440</f>
        <v>#VALUE!</v>
      </c>
      <c r="I19" s="6">
        <v>0</v>
      </c>
    </row>
    <row r="20" spans="1:9" x14ac:dyDescent="0.3">
      <c r="A20" t="s">
        <v>5</v>
      </c>
      <c r="B20">
        <v>1</v>
      </c>
      <c r="C20">
        <v>2023</v>
      </c>
      <c r="D20" t="s">
        <v>736</v>
      </c>
      <c r="E20" t="s">
        <v>735</v>
      </c>
      <c r="F20" s="1">
        <f>AVERAGEIFS(Teams[finish],Teams[year],Teams[[#This Row],[year]],Teams[division],Teams[[#This Row],[division]],Teams[college],"&lt;&gt;Div *")</f>
        <v>0.61898148148148158</v>
      </c>
      <c r="G20" s="7" cm="1">
        <f t="array" ref="G20">MOD(Teams[[#This Row],[winners]]-_xlfn.XLOOKUP(1,(Table1[year]=Teams[[#This Row],[year]])*(Table1[division]=Teams[[#This Row],[division]]),Table1[drop]),1)*1440</f>
        <v>1176.3333333333335</v>
      </c>
      <c r="H20" s="7" t="e">
        <f>(_xlfn.XLOOKUP(Teams[[#This Row],[year]],Table1[year],Table1[cutoff])-Teams[[#This Row],[finish]])*1440</f>
        <v>#VALUE!</v>
      </c>
      <c r="I20" s="6">
        <v>0</v>
      </c>
    </row>
    <row r="21" spans="1:9" x14ac:dyDescent="0.3">
      <c r="A21" t="s">
        <v>5</v>
      </c>
      <c r="B21">
        <v>2</v>
      </c>
      <c r="C21">
        <v>2023</v>
      </c>
      <c r="D21" t="s">
        <v>736</v>
      </c>
      <c r="E21" t="s">
        <v>735</v>
      </c>
      <c r="F21" s="1">
        <f>AVERAGEIFS(Teams[finish],Teams[year],Teams[[#This Row],[year]],Teams[division],Teams[[#This Row],[division]],Teams[college],"&lt;&gt;Div *")</f>
        <v>0.54902777777777767</v>
      </c>
      <c r="G21" s="7" cm="1">
        <f t="array" ref="G21">MOD(Teams[[#This Row],[winners]]-_xlfn.XLOOKUP(1,(Table1[year]=Teams[[#This Row],[year]])*(Table1[division]=Teams[[#This Row],[division]]),Table1[drop]),1)*1440</f>
        <v>1030.5999999999997</v>
      </c>
      <c r="H21" s="7" t="e">
        <f>(_xlfn.XLOOKUP(Teams[[#This Row],[year]],Table1[year],Table1[cutoff])-Teams[[#This Row],[finish]])*1440</f>
        <v>#VALUE!</v>
      </c>
      <c r="I21" s="6">
        <v>0</v>
      </c>
    </row>
    <row r="22" spans="1:9" x14ac:dyDescent="0.3">
      <c r="A22" t="s">
        <v>5</v>
      </c>
      <c r="B22">
        <v>5</v>
      </c>
      <c r="C22">
        <v>2023</v>
      </c>
      <c r="D22" t="s">
        <v>736</v>
      </c>
      <c r="E22" t="s">
        <v>735</v>
      </c>
      <c r="F22" s="1">
        <f>AVERAGEIFS(Teams[finish],Teams[year],Teams[[#This Row],[year]],Teams[division],Teams[[#This Row],[division]],Teams[college],"&lt;&gt;Div *")</f>
        <v>0.62942708333333341</v>
      </c>
      <c r="G22" s="7" cm="1">
        <f t="array" ref="G22">MOD(Teams[[#This Row],[winners]]-_xlfn.XLOOKUP(1,(Table1[year]=Teams[[#This Row],[year]])*(Table1[division]=Teams[[#This Row],[division]]),Table1[drop]),1)*1440</f>
        <v>876.37500000000011</v>
      </c>
      <c r="H22" s="7" t="e">
        <f>(_xlfn.XLOOKUP(Teams[[#This Row],[year]],Table1[year],Table1[cutoff])-Teams[[#This Row],[finish]])*1440</f>
        <v>#VALUE!</v>
      </c>
      <c r="I22" s="6">
        <v>0</v>
      </c>
    </row>
    <row r="23" spans="1:9" x14ac:dyDescent="0.3">
      <c r="A23" t="s">
        <v>19</v>
      </c>
      <c r="B23">
        <v>1</v>
      </c>
      <c r="C23">
        <v>2023</v>
      </c>
      <c r="D23" t="s">
        <v>736</v>
      </c>
      <c r="E23" t="s">
        <v>735</v>
      </c>
      <c r="F23" s="1">
        <f>AVERAGEIFS(Teams[finish],Teams[year],Teams[[#This Row],[year]],Teams[division],Teams[[#This Row],[division]],Teams[college],"&lt;&gt;Div *")</f>
        <v>0.61898148148148158</v>
      </c>
      <c r="G23" s="7" cm="1">
        <f t="array" ref="G23">MOD(Teams[[#This Row],[winners]]-_xlfn.XLOOKUP(1,(Table1[year]=Teams[[#This Row],[year]])*(Table1[division]=Teams[[#This Row],[division]]),Table1[drop]),1)*1440</f>
        <v>1176.3333333333335</v>
      </c>
      <c r="H23" s="7" t="e">
        <f>(_xlfn.XLOOKUP(Teams[[#This Row],[year]],Table1[year],Table1[cutoff])-Teams[[#This Row],[finish]])*1440</f>
        <v>#VALUE!</v>
      </c>
      <c r="I23" s="6">
        <v>0</v>
      </c>
    </row>
    <row r="24" spans="1:9" x14ac:dyDescent="0.3">
      <c r="A24" t="s">
        <v>19</v>
      </c>
      <c r="B24">
        <v>3</v>
      </c>
      <c r="C24">
        <v>2023</v>
      </c>
      <c r="D24" t="s">
        <v>736</v>
      </c>
      <c r="E24" t="s">
        <v>735</v>
      </c>
      <c r="F24" s="1">
        <f>AVERAGEIFS(Teams[finish],Teams[year],Teams[[#This Row],[year]],Teams[division],Teams[[#This Row],[division]],Teams[college],"&lt;&gt;Div *")</f>
        <v>0.59184027777777781</v>
      </c>
      <c r="G24" s="7" cm="1">
        <f t="array" ref="G24">MOD(Teams[[#This Row],[winners]]-_xlfn.XLOOKUP(1,(Table1[year]=Teams[[#This Row],[year]])*(Table1[division]=Teams[[#This Row],[division]]),Table1[drop]),1)*1440</f>
        <v>1032.25</v>
      </c>
      <c r="H24" s="7" t="e">
        <f>(_xlfn.XLOOKUP(Teams[[#This Row],[year]],Table1[year],Table1[cutoff])-Teams[[#This Row],[finish]])*1440</f>
        <v>#VALUE!</v>
      </c>
      <c r="I24" s="6">
        <v>0</v>
      </c>
    </row>
    <row r="25" spans="1:9" x14ac:dyDescent="0.3">
      <c r="A25" t="s">
        <v>19</v>
      </c>
      <c r="B25">
        <v>6</v>
      </c>
      <c r="C25">
        <v>2024</v>
      </c>
      <c r="D25" t="s">
        <v>736</v>
      </c>
      <c r="E25" t="s">
        <v>735</v>
      </c>
      <c r="F25" s="1">
        <f>AVERAGEIFS(Teams[finish],Teams[year],Teams[[#This Row],[year]],Teams[division],Teams[[#This Row],[division]],Teams[college],"&lt;&gt;Div *")</f>
        <v>0.62</v>
      </c>
      <c r="G25" s="7" cm="1">
        <f t="array" ref="G25">MOD(Teams[[#This Row],[winners]]-_xlfn.XLOOKUP(1,(Table1[year]=Teams[[#This Row],[year]])*(Table1[division]=Teams[[#This Row],[division]]),Table1[drop]),1)*1440</f>
        <v>740.80000000000007</v>
      </c>
      <c r="H25" s="7" t="e">
        <f>(_xlfn.XLOOKUP(Teams[[#This Row],[year]],Table1[year],Table1[cutoff])-Teams[[#This Row],[finish]])*1440</f>
        <v>#VALUE!</v>
      </c>
      <c r="I25" s="6">
        <v>0</v>
      </c>
    </row>
    <row r="26" spans="1:9" x14ac:dyDescent="0.3">
      <c r="A26" t="s">
        <v>19</v>
      </c>
      <c r="B26">
        <v>1</v>
      </c>
      <c r="C26">
        <v>2022</v>
      </c>
      <c r="D26" t="s">
        <v>736</v>
      </c>
      <c r="E26" s="3" t="s">
        <v>735</v>
      </c>
      <c r="F26" s="2">
        <f>AVERAGEIFS(Teams[finish],Teams[year],Teams[[#This Row],[year]],Teams[division],Teams[[#This Row],[division]],Teams[college],"&lt;&gt;Div *")</f>
        <v>0.52309027777777772</v>
      </c>
      <c r="G26" s="8" cm="1">
        <f t="array" ref="G26">MOD(Teams[[#This Row],[winners]]-_xlfn.XLOOKUP(1,(Table1[year]=Teams[[#This Row],[year]])*(Table1[division]=Teams[[#This Row],[division]]),Table1[drop]),1)*1440</f>
        <v>811.24999999999989</v>
      </c>
      <c r="H26" s="8" t="e">
        <f>(_xlfn.XLOOKUP(Teams[[#This Row],[year]],Table1[year],Table1[cutoff])-Teams[[#This Row],[finish]])*1440</f>
        <v>#VALUE!</v>
      </c>
      <c r="I26" s="6">
        <v>0</v>
      </c>
    </row>
    <row r="27" spans="1:9" x14ac:dyDescent="0.3">
      <c r="A27" t="s">
        <v>48</v>
      </c>
      <c r="B27">
        <v>6</v>
      </c>
      <c r="C27">
        <v>2024</v>
      </c>
      <c r="D27" t="s">
        <v>736</v>
      </c>
      <c r="E27" t="s">
        <v>735</v>
      </c>
      <c r="F27" s="1">
        <f>AVERAGEIFS(Teams[finish],Teams[year],Teams[[#This Row],[year]],Teams[division],Teams[[#This Row],[division]],Teams[college],"&lt;&gt;Div *")</f>
        <v>0.62</v>
      </c>
      <c r="G27" s="7" cm="1">
        <f t="array" ref="G27">MOD(Teams[[#This Row],[winners]]-_xlfn.XLOOKUP(1,(Table1[year]=Teams[[#This Row],[year]])*(Table1[division]=Teams[[#This Row],[division]]),Table1[drop]),1)*1440</f>
        <v>740.80000000000007</v>
      </c>
      <c r="H27" s="7" t="e">
        <f>(_xlfn.XLOOKUP(Teams[[#This Row],[year]],Table1[year],Table1[cutoff])-Teams[[#This Row],[finish]])*1440</f>
        <v>#VALUE!</v>
      </c>
      <c r="I27" s="6">
        <v>0</v>
      </c>
    </row>
    <row r="28" spans="1:9" x14ac:dyDescent="0.3">
      <c r="A28" t="s">
        <v>48</v>
      </c>
      <c r="B28">
        <v>4</v>
      </c>
      <c r="C28">
        <v>2022</v>
      </c>
      <c r="D28" t="s">
        <v>736</v>
      </c>
      <c r="E28" s="3" t="s">
        <v>735</v>
      </c>
      <c r="F28" s="2">
        <f>AVERAGEIFS(Teams[finish],Teams[year],Teams[[#This Row],[year]],Teams[division],Teams[[#This Row],[division]],Teams[college],"&lt;&gt;Div *")</f>
        <v>0.4699652777777778</v>
      </c>
      <c r="G28" s="8" cm="1">
        <f t="array" ref="G28">MOD(Teams[[#This Row],[winners]]-_xlfn.XLOOKUP(1,(Table1[year]=Teams[[#This Row],[year]])*(Table1[division]=Teams[[#This Row],[division]]),Table1[drop]),1)*1440</f>
        <v>586.75</v>
      </c>
      <c r="H28" s="8" t="e">
        <f>(_xlfn.XLOOKUP(Teams[[#This Row],[year]],Table1[year],Table1[cutoff])-Teams[[#This Row],[finish]])*1440</f>
        <v>#VALUE!</v>
      </c>
      <c r="I28" s="6">
        <v>0</v>
      </c>
    </row>
    <row r="29" spans="1:9" x14ac:dyDescent="0.3">
      <c r="A29" t="s">
        <v>10</v>
      </c>
      <c r="B29">
        <v>1</v>
      </c>
      <c r="C29">
        <v>2023</v>
      </c>
      <c r="D29" t="s">
        <v>736</v>
      </c>
      <c r="E29" t="s">
        <v>735</v>
      </c>
      <c r="F29" s="1">
        <f>AVERAGEIFS(Teams[finish],Teams[year],Teams[[#This Row],[year]],Teams[division],Teams[[#This Row],[division]],Teams[college],"&lt;&gt;Div *")</f>
        <v>0.61898148148148158</v>
      </c>
      <c r="G29" s="7" cm="1">
        <f t="array" ref="G29">MOD(Teams[[#This Row],[winners]]-_xlfn.XLOOKUP(1,(Table1[year]=Teams[[#This Row],[year]])*(Table1[division]=Teams[[#This Row],[division]]),Table1[drop]),1)*1440</f>
        <v>1176.3333333333335</v>
      </c>
      <c r="H29" s="7" t="e">
        <f>(_xlfn.XLOOKUP(Teams[[#This Row],[year]],Table1[year],Table1[cutoff])-Teams[[#This Row],[finish]])*1440</f>
        <v>#VALUE!</v>
      </c>
      <c r="I29" s="6">
        <v>0</v>
      </c>
    </row>
    <row r="30" spans="1:9" x14ac:dyDescent="0.3">
      <c r="A30" t="s">
        <v>10</v>
      </c>
      <c r="B30">
        <v>2</v>
      </c>
      <c r="C30">
        <v>2025</v>
      </c>
      <c r="D30" t="s">
        <v>736</v>
      </c>
      <c r="E30" s="3" t="s">
        <v>735</v>
      </c>
      <c r="F30" s="2">
        <f>AVERAGEIFS(Teams[finish],Teams[year],Teams[[#This Row],[year]],Teams[division],Teams[[#This Row],[division]],Teams[college],"&lt;&gt;Div *")</f>
        <v>0.56967592592592586</v>
      </c>
      <c r="G30" s="8" cm="1">
        <f t="array" ref="G30">MOD(Teams[[#This Row],[winners]]-_xlfn.XLOOKUP(1,(Table1[year]=Teams[[#This Row],[year]])*(Table1[division]=Teams[[#This Row],[division]]),Table1[drop]),1)*1440</f>
        <v>1064.3333333333333</v>
      </c>
      <c r="H30" s="8" t="e">
        <f>(_xlfn.XLOOKUP(Teams[[#This Row],[year]],Table1[year],Table1[cutoff])-Teams[[#This Row],[finish]])*1440</f>
        <v>#VALUE!</v>
      </c>
      <c r="I30" s="6">
        <v>0</v>
      </c>
    </row>
    <row r="31" spans="1:9" x14ac:dyDescent="0.3">
      <c r="A31" t="s">
        <v>10</v>
      </c>
      <c r="B31">
        <v>3</v>
      </c>
      <c r="C31">
        <v>2025</v>
      </c>
      <c r="D31" t="s">
        <v>736</v>
      </c>
      <c r="E31" s="3" t="s">
        <v>735</v>
      </c>
      <c r="F31" s="2">
        <f>AVERAGEIFS(Teams[finish],Teams[year],Teams[[#This Row],[year]],Teams[division],Teams[[#This Row],[division]],Teams[college],"&lt;&gt;Div *")</f>
        <v>0.56753472222222223</v>
      </c>
      <c r="G31" s="8" cm="1">
        <f t="array" ref="G31">MOD(Teams[[#This Row],[winners]]-_xlfn.XLOOKUP(1,(Table1[year]=Teams[[#This Row],[year]])*(Table1[division]=Teams[[#This Row],[division]]),Table1[drop]),1)*1440</f>
        <v>997.25</v>
      </c>
      <c r="H31" s="8" t="e">
        <f>(_xlfn.XLOOKUP(Teams[[#This Row],[year]],Table1[year],Table1[cutoff])-Teams[[#This Row],[finish]])*1440</f>
        <v>#VALUE!</v>
      </c>
      <c r="I31" s="6">
        <v>0</v>
      </c>
    </row>
    <row r="32" spans="1:9" x14ac:dyDescent="0.3">
      <c r="A32" t="s">
        <v>10</v>
      </c>
      <c r="B32">
        <v>1</v>
      </c>
      <c r="C32">
        <v>2025</v>
      </c>
      <c r="D32" t="s">
        <v>736</v>
      </c>
      <c r="E32" s="3" t="s">
        <v>735</v>
      </c>
      <c r="F32" s="2">
        <f>AVERAGEIFS(Teams[finish],Teams[year],Teams[[#This Row],[year]],Teams[division],Teams[[#This Row],[division]],Teams[college],"&lt;&gt;Div *")</f>
        <v>0.58533950617283947</v>
      </c>
      <c r="G32" s="8" cm="1">
        <f t="array" ref="G32">MOD(Teams[[#This Row],[winners]]-_xlfn.XLOOKUP(1,(Table1[year]=Teams[[#This Row],[year]])*(Table1[division]=Teams[[#This Row],[division]]),Table1[drop]),1)*1440</f>
        <v>1129.8888888888887</v>
      </c>
      <c r="H32" s="8" t="e">
        <f>(_xlfn.XLOOKUP(Teams[[#This Row],[year]],Table1[year],Table1[cutoff])-Teams[[#This Row],[finish]])*1440</f>
        <v>#VALUE!</v>
      </c>
      <c r="I32" s="6">
        <v>0</v>
      </c>
    </row>
    <row r="33" spans="1:9" x14ac:dyDescent="0.3">
      <c r="A33" t="s">
        <v>10</v>
      </c>
      <c r="B33">
        <v>3</v>
      </c>
      <c r="C33">
        <v>2024</v>
      </c>
      <c r="D33" t="s">
        <v>736</v>
      </c>
      <c r="E33" t="s">
        <v>735</v>
      </c>
      <c r="F33" s="1">
        <f>AVERAGEIFS(Teams[finish],Teams[year],Teams[[#This Row],[year]],Teams[division],Teams[[#This Row],[division]],Teams[college],"&lt;&gt;Div *")</f>
        <v>0.63777777777777778</v>
      </c>
      <c r="G33" s="7" cm="1">
        <f t="array" ref="G33">MOD(Teams[[#This Row],[winners]]-_xlfn.XLOOKUP(1,(Table1[year]=Teams[[#This Row],[year]])*(Table1[division]=Teams[[#This Row],[division]]),Table1[drop]),1)*1440</f>
        <v>938.4</v>
      </c>
      <c r="H33" s="7" t="e">
        <f>(_xlfn.XLOOKUP(Teams[[#This Row],[year]],Table1[year],Table1[cutoff])-Teams[[#This Row],[finish]])*1440</f>
        <v>#VALUE!</v>
      </c>
      <c r="I33" s="6">
        <v>0</v>
      </c>
    </row>
    <row r="34" spans="1:9" x14ac:dyDescent="0.3">
      <c r="A34" t="s">
        <v>10</v>
      </c>
      <c r="B34">
        <v>4</v>
      </c>
      <c r="C34">
        <v>2025</v>
      </c>
      <c r="D34" t="s">
        <v>736</v>
      </c>
      <c r="E34" s="3" t="s">
        <v>735</v>
      </c>
      <c r="F34" s="2">
        <f>AVERAGEIFS(Teams[finish],Teams[year],Teams[[#This Row],[year]],Teams[division],Teams[[#This Row],[division]],Teams[college],"&lt;&gt;Div *")</f>
        <v>0.61206597222222225</v>
      </c>
      <c r="G34" s="8" cm="1">
        <f t="array" ref="G34">MOD(Teams[[#This Row],[winners]]-_xlfn.XLOOKUP(1,(Table1[year]=Teams[[#This Row],[year]])*(Table1[division]=Teams[[#This Row],[division]]),Table1[drop]),1)*1440</f>
        <v>933.375</v>
      </c>
      <c r="H34" s="8" t="e">
        <f>(_xlfn.XLOOKUP(Teams[[#This Row],[year]],Table1[year],Table1[cutoff])-Teams[[#This Row],[finish]])*1440</f>
        <v>#VALUE!</v>
      </c>
      <c r="I34" s="6">
        <v>0</v>
      </c>
    </row>
    <row r="35" spans="1:9" x14ac:dyDescent="0.3">
      <c r="A35" t="s">
        <v>10</v>
      </c>
      <c r="B35">
        <v>5</v>
      </c>
      <c r="C35">
        <v>2023</v>
      </c>
      <c r="D35" t="s">
        <v>736</v>
      </c>
      <c r="E35" t="s">
        <v>735</v>
      </c>
      <c r="F35" s="1">
        <f>AVERAGEIFS(Teams[finish],Teams[year],Teams[[#This Row],[year]],Teams[division],Teams[[#This Row],[division]],Teams[college],"&lt;&gt;Div *")</f>
        <v>0.62942708333333341</v>
      </c>
      <c r="G35" s="7" cm="1">
        <f t="array" ref="G35">MOD(Teams[[#This Row],[winners]]-_xlfn.XLOOKUP(1,(Table1[year]=Teams[[#This Row],[year]])*(Table1[division]=Teams[[#This Row],[division]]),Table1[drop]),1)*1440</f>
        <v>876.37500000000011</v>
      </c>
      <c r="H35" s="7" t="e">
        <f>(_xlfn.XLOOKUP(Teams[[#This Row],[year]],Table1[year],Table1[cutoff])-Teams[[#This Row],[finish]])*1440</f>
        <v>#VALUE!</v>
      </c>
      <c r="I35" s="6">
        <v>0</v>
      </c>
    </row>
    <row r="36" spans="1:9" x14ac:dyDescent="0.3">
      <c r="A36" t="s">
        <v>10</v>
      </c>
      <c r="B36">
        <v>6</v>
      </c>
      <c r="C36">
        <v>2024</v>
      </c>
      <c r="D36" t="s">
        <v>736</v>
      </c>
      <c r="E36" t="s">
        <v>735</v>
      </c>
      <c r="F36" s="1">
        <f>AVERAGEIFS(Teams[finish],Teams[year],Teams[[#This Row],[year]],Teams[division],Teams[[#This Row],[division]],Teams[college],"&lt;&gt;Div *")</f>
        <v>0.62</v>
      </c>
      <c r="G36" s="7" cm="1">
        <f t="array" ref="G36">MOD(Teams[[#This Row],[winners]]-_xlfn.XLOOKUP(1,(Table1[year]=Teams[[#This Row],[year]])*(Table1[division]=Teams[[#This Row],[division]]),Table1[drop]),1)*1440</f>
        <v>740.80000000000007</v>
      </c>
      <c r="H36" s="7" t="e">
        <f>(_xlfn.XLOOKUP(Teams[[#This Row],[year]],Table1[year],Table1[cutoff])-Teams[[#This Row],[finish]])*1440</f>
        <v>#VALUE!</v>
      </c>
      <c r="I36" s="6">
        <v>0</v>
      </c>
    </row>
    <row r="37" spans="1:9" x14ac:dyDescent="0.3">
      <c r="A37" t="s">
        <v>10</v>
      </c>
      <c r="B37">
        <v>4</v>
      </c>
      <c r="C37">
        <v>2022</v>
      </c>
      <c r="D37" t="s">
        <v>737</v>
      </c>
      <c r="E37" s="3" t="s">
        <v>735</v>
      </c>
      <c r="F37" s="2">
        <f>AVERAGEIFS(Teams[finish],Teams[year],Teams[[#This Row],[year]],Teams[division],Teams[[#This Row],[division]],Teams[college],"&lt;&gt;Div *")</f>
        <v>0.4699652777777778</v>
      </c>
      <c r="G37" s="8" cm="1">
        <f t="array" ref="G37">MOD(Teams[[#This Row],[winners]]-_xlfn.XLOOKUP(1,(Table1[year]=Teams[[#This Row],[year]])*(Table1[division]=Teams[[#This Row],[division]]),Table1[drop]),1)*1440</f>
        <v>586.75</v>
      </c>
      <c r="H37" s="8" t="e">
        <f>(_xlfn.XLOOKUP(Teams[[#This Row],[year]],Table1[year],Table1[cutoff])-Teams[[#This Row],[finish]])*1440</f>
        <v>#VALUE!</v>
      </c>
      <c r="I37" s="6">
        <v>0</v>
      </c>
    </row>
    <row r="38" spans="1:9" x14ac:dyDescent="0.3">
      <c r="A38" t="s">
        <v>10</v>
      </c>
      <c r="B38">
        <v>7</v>
      </c>
      <c r="C38">
        <v>2023</v>
      </c>
      <c r="D38" t="s">
        <v>736</v>
      </c>
      <c r="E38" t="s">
        <v>735</v>
      </c>
      <c r="F38" s="1">
        <f>AVERAGEIFS(Teams[finish],Teams[year],Teams[[#This Row],[year]],Teams[division],Teams[[#This Row],[division]],Teams[college],"&lt;&gt;Div *")</f>
        <v>0.57826388888888891</v>
      </c>
      <c r="G38" s="7" cm="1">
        <f t="array" ref="G38">MOD(Teams[[#This Row],[winners]]-_xlfn.XLOOKUP(1,(Table1[year]=Teams[[#This Row],[year]])*(Table1[division]=Teams[[#This Row],[division]]),Table1[drop]),1)*1440</f>
        <v>620.69999999999993</v>
      </c>
      <c r="H38" s="7" t="e">
        <f>(_xlfn.XLOOKUP(Teams[[#This Row],[year]],Table1[year],Table1[cutoff])-Teams[[#This Row],[finish]])*1440</f>
        <v>#VALUE!</v>
      </c>
      <c r="I38" s="6">
        <v>0</v>
      </c>
    </row>
    <row r="39" spans="1:9" x14ac:dyDescent="0.3">
      <c r="A39" t="s">
        <v>266</v>
      </c>
      <c r="B39">
        <v>3</v>
      </c>
      <c r="C39">
        <v>2025</v>
      </c>
      <c r="D39" t="s">
        <v>736</v>
      </c>
      <c r="E39" s="3" t="s">
        <v>735</v>
      </c>
      <c r="F39" s="2">
        <f>AVERAGEIFS(Teams[finish],Teams[year],Teams[[#This Row],[year]],Teams[division],Teams[[#This Row],[division]],Teams[college],"&lt;&gt;Div *")</f>
        <v>0.56753472222222223</v>
      </c>
      <c r="G39" s="8" cm="1">
        <f t="array" ref="G39">MOD(Teams[[#This Row],[winners]]-_xlfn.XLOOKUP(1,(Table1[year]=Teams[[#This Row],[year]])*(Table1[division]=Teams[[#This Row],[division]]),Table1[drop]),1)*1440</f>
        <v>997.25</v>
      </c>
      <c r="H39" s="8" t="e">
        <f>(_xlfn.XLOOKUP(Teams[[#This Row],[year]],Table1[year],Table1[cutoff])-Teams[[#This Row],[finish]])*1440</f>
        <v>#VALUE!</v>
      </c>
      <c r="I39" s="6">
        <v>0</v>
      </c>
    </row>
    <row r="40" spans="1:9" x14ac:dyDescent="0.3">
      <c r="A40" t="s">
        <v>266</v>
      </c>
      <c r="B40">
        <v>3</v>
      </c>
      <c r="C40">
        <v>2024</v>
      </c>
      <c r="D40" t="s">
        <v>736</v>
      </c>
      <c r="E40" t="s">
        <v>735</v>
      </c>
      <c r="F40" s="1">
        <f>AVERAGEIFS(Teams[finish],Teams[year],Teams[[#This Row],[year]],Teams[division],Teams[[#This Row],[division]],Teams[college],"&lt;&gt;Div *")</f>
        <v>0.63777777777777778</v>
      </c>
      <c r="G40" s="7" cm="1">
        <f t="array" ref="G40">MOD(Teams[[#This Row],[winners]]-_xlfn.XLOOKUP(1,(Table1[year]=Teams[[#This Row],[year]])*(Table1[division]=Teams[[#This Row],[division]]),Table1[drop]),1)*1440</f>
        <v>938.4</v>
      </c>
      <c r="H40" s="7" t="e">
        <f>(_xlfn.XLOOKUP(Teams[[#This Row],[year]],Table1[year],Table1[cutoff])-Teams[[#This Row],[finish]])*1440</f>
        <v>#VALUE!</v>
      </c>
      <c r="I40" s="6">
        <v>0</v>
      </c>
    </row>
    <row r="41" spans="1:9" x14ac:dyDescent="0.3">
      <c r="A41" t="s">
        <v>266</v>
      </c>
      <c r="B41">
        <v>6</v>
      </c>
      <c r="C41">
        <v>2024</v>
      </c>
      <c r="D41" t="s">
        <v>736</v>
      </c>
      <c r="E41" t="s">
        <v>735</v>
      </c>
      <c r="F41" s="1">
        <f>AVERAGEIFS(Teams[finish],Teams[year],Teams[[#This Row],[year]],Teams[division],Teams[[#This Row],[division]],Teams[college],"&lt;&gt;Div *")</f>
        <v>0.62</v>
      </c>
      <c r="G41" s="7" cm="1">
        <f t="array" ref="G41">MOD(Teams[[#This Row],[winners]]-_xlfn.XLOOKUP(1,(Table1[year]=Teams[[#This Row],[year]])*(Table1[division]=Teams[[#This Row],[division]]),Table1[drop]),1)*1440</f>
        <v>740.80000000000007</v>
      </c>
      <c r="H41" s="7" t="e">
        <f>(_xlfn.XLOOKUP(Teams[[#This Row],[year]],Table1[year],Table1[cutoff])-Teams[[#This Row],[finish]])*1440</f>
        <v>#VALUE!</v>
      </c>
      <c r="I41" s="6">
        <v>0</v>
      </c>
    </row>
    <row r="42" spans="1:9" x14ac:dyDescent="0.3">
      <c r="A42" t="s">
        <v>266</v>
      </c>
      <c r="B42">
        <v>7</v>
      </c>
      <c r="C42">
        <v>2024</v>
      </c>
      <c r="D42" t="s">
        <v>736</v>
      </c>
      <c r="E42" t="s">
        <v>735</v>
      </c>
      <c r="F42" s="1">
        <f>AVERAGEIFS(Teams[finish],Teams[year],Teams[[#This Row],[year]],Teams[division],Teams[[#This Row],[division]],Teams[college],"&lt;&gt;Div *")</f>
        <v>0.65364583333333337</v>
      </c>
      <c r="G42" s="7" cm="1">
        <f t="array" ref="G42">MOD(Teams[[#This Row],[winners]]-_xlfn.XLOOKUP(1,(Table1[year]=Teams[[#This Row],[year]])*(Table1[division]=Teams[[#This Row],[division]]),Table1[drop]),1)*1440</f>
        <v>661.25000000000011</v>
      </c>
      <c r="H42" s="7" t="e">
        <f>(_xlfn.XLOOKUP(Teams[[#This Row],[year]],Table1[year],Table1[cutoff])-Teams[[#This Row],[finish]])*1440</f>
        <v>#VALUE!</v>
      </c>
      <c r="I42" s="6">
        <v>0</v>
      </c>
    </row>
    <row r="43" spans="1:9" x14ac:dyDescent="0.3">
      <c r="A43" t="s">
        <v>250</v>
      </c>
      <c r="B43">
        <v>2</v>
      </c>
      <c r="C43">
        <v>2023</v>
      </c>
      <c r="D43" t="s">
        <v>736</v>
      </c>
      <c r="E43" t="s">
        <v>735</v>
      </c>
      <c r="F43" s="1">
        <f>AVERAGEIFS(Teams[finish],Teams[year],Teams[[#This Row],[year]],Teams[division],Teams[[#This Row],[division]],Teams[college],"&lt;&gt;Div *")</f>
        <v>0.54902777777777767</v>
      </c>
      <c r="G43" s="7" cm="1">
        <f t="array" ref="G43">MOD(Teams[[#This Row],[winners]]-_xlfn.XLOOKUP(1,(Table1[year]=Teams[[#This Row],[year]])*(Table1[division]=Teams[[#This Row],[division]]),Table1[drop]),1)*1440</f>
        <v>1030.5999999999997</v>
      </c>
      <c r="H43" s="7" t="e">
        <f>(_xlfn.XLOOKUP(Teams[[#This Row],[year]],Table1[year],Table1[cutoff])-Teams[[#This Row],[finish]])*1440</f>
        <v>#VALUE!</v>
      </c>
      <c r="I43" s="6">
        <v>0</v>
      </c>
    </row>
    <row r="44" spans="1:9" x14ac:dyDescent="0.3">
      <c r="A44" t="s">
        <v>250</v>
      </c>
      <c r="B44">
        <v>4</v>
      </c>
      <c r="C44">
        <v>2023</v>
      </c>
      <c r="D44" t="s">
        <v>736</v>
      </c>
      <c r="E44" t="s">
        <v>735</v>
      </c>
      <c r="F44" s="1">
        <f>AVERAGEIFS(Teams[finish],Teams[year],Teams[[#This Row],[year]],Teams[division],Teams[[#This Row],[division]],Teams[college],"&lt;&gt;Div *")</f>
        <v>0.59335317460317449</v>
      </c>
      <c r="G44" s="7" cm="1">
        <f t="array" ref="G44">MOD(Teams[[#This Row],[winners]]-_xlfn.XLOOKUP(1,(Table1[year]=Teams[[#This Row],[year]])*(Table1[division]=Teams[[#This Row],[division]]),Table1[drop]),1)*1440</f>
        <v>944.42857142857122</v>
      </c>
      <c r="H44" s="7" t="e">
        <f>(_xlfn.XLOOKUP(Teams[[#This Row],[year]],Table1[year],Table1[cutoff])-Teams[[#This Row],[finish]])*1440</f>
        <v>#VALUE!</v>
      </c>
      <c r="I44" s="6">
        <v>0</v>
      </c>
    </row>
    <row r="45" spans="1:9" x14ac:dyDescent="0.3">
      <c r="A45" t="s">
        <v>250</v>
      </c>
      <c r="B45">
        <v>6</v>
      </c>
      <c r="C45">
        <v>2023</v>
      </c>
      <c r="D45" t="s">
        <v>736</v>
      </c>
      <c r="E45" t="s">
        <v>735</v>
      </c>
      <c r="F45" s="1">
        <f>AVERAGEIFS(Teams[finish],Teams[year],Teams[[#This Row],[year]],Teams[division],Teams[[#This Row],[division]],Teams[college],"&lt;&gt;Div *")</f>
        <v>0.63140432098765431</v>
      </c>
      <c r="G45" s="7" cm="1">
        <f t="array" ref="G45">MOD(Teams[[#This Row],[winners]]-_xlfn.XLOOKUP(1,(Table1[year]=Teams[[#This Row],[year]])*(Table1[division]=Teams[[#This Row],[division]]),Table1[drop]),1)*1440</f>
        <v>849.22222222222229</v>
      </c>
      <c r="H45" s="7" t="e">
        <f>(_xlfn.XLOOKUP(Teams[[#This Row],[year]],Table1[year],Table1[cutoff])-Teams[[#This Row],[finish]])*1440</f>
        <v>#VALUE!</v>
      </c>
      <c r="I45" s="6">
        <v>0</v>
      </c>
    </row>
    <row r="46" spans="1:9" x14ac:dyDescent="0.3">
      <c r="A46" t="s">
        <v>250</v>
      </c>
      <c r="B46">
        <v>4</v>
      </c>
      <c r="C46">
        <v>2024</v>
      </c>
      <c r="D46" t="s">
        <v>736</v>
      </c>
      <c r="E46" t="s">
        <v>735</v>
      </c>
      <c r="F46" s="1">
        <f>AVERAGEIFS(Teams[finish],Teams[year],Teams[[#This Row],[year]],Teams[division],Teams[[#This Row],[division]],Teams[college],"&lt;&gt;Div *")</f>
        <v>0.65188492063492054</v>
      </c>
      <c r="G46" s="7" cm="1">
        <f t="array" ref="G46">MOD(Teams[[#This Row],[winners]]-_xlfn.XLOOKUP(1,(Table1[year]=Teams[[#This Row],[year]])*(Table1[division]=Teams[[#This Row],[division]]),Table1[drop]),1)*1440</f>
        <v>777.71428571428555</v>
      </c>
      <c r="H46" s="7" t="e">
        <f>(_xlfn.XLOOKUP(Teams[[#This Row],[year]],Table1[year],Table1[cutoff])-Teams[[#This Row],[finish]])*1440</f>
        <v>#VALUE!</v>
      </c>
      <c r="I46" s="6">
        <v>0</v>
      </c>
    </row>
    <row r="47" spans="1:9" x14ac:dyDescent="0.3">
      <c r="A47" t="s">
        <v>250</v>
      </c>
      <c r="B47">
        <v>6</v>
      </c>
      <c r="C47">
        <v>2024</v>
      </c>
      <c r="D47" t="s">
        <v>736</v>
      </c>
      <c r="E47" t="s">
        <v>735</v>
      </c>
      <c r="F47" s="1">
        <f>AVERAGEIFS(Teams[finish],Teams[year],Teams[[#This Row],[year]],Teams[division],Teams[[#This Row],[division]],Teams[college],"&lt;&gt;Div *")</f>
        <v>0.62</v>
      </c>
      <c r="G47" s="7" cm="1">
        <f t="array" ref="G47">MOD(Teams[[#This Row],[winners]]-_xlfn.XLOOKUP(1,(Table1[year]=Teams[[#This Row],[year]])*(Table1[division]=Teams[[#This Row],[division]]),Table1[drop]),1)*1440</f>
        <v>740.80000000000007</v>
      </c>
      <c r="H47" s="7" t="e">
        <f>(_xlfn.XLOOKUP(Teams[[#This Row],[year]],Table1[year],Table1[cutoff])-Teams[[#This Row],[finish]])*1440</f>
        <v>#VALUE!</v>
      </c>
      <c r="I47" s="6">
        <v>0</v>
      </c>
    </row>
    <row r="48" spans="1:9" x14ac:dyDescent="0.3">
      <c r="A48" t="s">
        <v>250</v>
      </c>
      <c r="B48">
        <v>7</v>
      </c>
      <c r="C48">
        <v>2024</v>
      </c>
      <c r="D48" t="s">
        <v>736</v>
      </c>
      <c r="E48" t="s">
        <v>735</v>
      </c>
      <c r="F48" s="1">
        <f>AVERAGEIFS(Teams[finish],Teams[year],Teams[[#This Row],[year]],Teams[division],Teams[[#This Row],[division]],Teams[college],"&lt;&gt;Div *")</f>
        <v>0.65364583333333337</v>
      </c>
      <c r="G48" s="7" cm="1">
        <f t="array" ref="G48">MOD(Teams[[#This Row],[winners]]-_xlfn.XLOOKUP(1,(Table1[year]=Teams[[#This Row],[year]])*(Table1[division]=Teams[[#This Row],[division]]),Table1[drop]),1)*1440</f>
        <v>661.25000000000011</v>
      </c>
      <c r="H48" s="7" t="e">
        <f>(_xlfn.XLOOKUP(Teams[[#This Row],[year]],Table1[year],Table1[cutoff])-Teams[[#This Row],[finish]])*1440</f>
        <v>#VALUE!</v>
      </c>
      <c r="I48" s="6">
        <v>0</v>
      </c>
    </row>
    <row r="49" spans="1:9" x14ac:dyDescent="0.3">
      <c r="A49" t="s">
        <v>241</v>
      </c>
      <c r="B49">
        <v>4</v>
      </c>
      <c r="C49">
        <v>2024</v>
      </c>
      <c r="D49" t="s">
        <v>736</v>
      </c>
      <c r="E49" t="s">
        <v>735</v>
      </c>
      <c r="F49" s="1">
        <f>AVERAGEIFS(Teams[finish],Teams[year],Teams[[#This Row],[year]],Teams[division],Teams[[#This Row],[division]],Teams[college],"&lt;&gt;Div *")</f>
        <v>0.65188492063492054</v>
      </c>
      <c r="G49" s="7" cm="1">
        <f t="array" ref="G49">MOD(Teams[[#This Row],[winners]]-_xlfn.XLOOKUP(1,(Table1[year]=Teams[[#This Row],[year]])*(Table1[division]=Teams[[#This Row],[division]]),Table1[drop]),1)*1440</f>
        <v>777.71428571428555</v>
      </c>
      <c r="H49" s="7" t="e">
        <f>(_xlfn.XLOOKUP(Teams[[#This Row],[year]],Table1[year],Table1[cutoff])-Teams[[#This Row],[finish]])*1440</f>
        <v>#VALUE!</v>
      </c>
      <c r="I49" s="6">
        <v>0</v>
      </c>
    </row>
    <row r="50" spans="1:9" x14ac:dyDescent="0.3">
      <c r="A50" t="s">
        <v>241</v>
      </c>
      <c r="B50">
        <v>6</v>
      </c>
      <c r="C50">
        <v>2024</v>
      </c>
      <c r="D50" t="s">
        <v>736</v>
      </c>
      <c r="E50" t="s">
        <v>735</v>
      </c>
      <c r="F50" s="1">
        <f>AVERAGEIFS(Teams[finish],Teams[year],Teams[[#This Row],[year]],Teams[division],Teams[[#This Row],[division]],Teams[college],"&lt;&gt;Div *")</f>
        <v>0.62</v>
      </c>
      <c r="G50" s="7" cm="1">
        <f t="array" ref="G50">MOD(Teams[[#This Row],[winners]]-_xlfn.XLOOKUP(1,(Table1[year]=Teams[[#This Row],[year]])*(Table1[division]=Teams[[#This Row],[division]]),Table1[drop]),1)*1440</f>
        <v>740.80000000000007</v>
      </c>
      <c r="H50" s="7" t="e">
        <f>(_xlfn.XLOOKUP(Teams[[#This Row],[year]],Table1[year],Table1[cutoff])-Teams[[#This Row],[finish]])*1440</f>
        <v>#VALUE!</v>
      </c>
      <c r="I50" s="6">
        <v>0</v>
      </c>
    </row>
    <row r="51" spans="1:9" x14ac:dyDescent="0.3">
      <c r="A51" t="s">
        <v>241</v>
      </c>
      <c r="B51">
        <v>5</v>
      </c>
      <c r="C51">
        <v>2024</v>
      </c>
      <c r="D51" t="s">
        <v>736</v>
      </c>
      <c r="E51" t="s">
        <v>735</v>
      </c>
      <c r="F51" s="1">
        <f>AVERAGEIFS(Teams[finish],Teams[year],Teams[[#This Row],[year]],Teams[division],Teams[[#This Row],[division]],Teams[college],"&lt;&gt;Div *")</f>
        <v>0.61149691358024683</v>
      </c>
      <c r="G51" s="7" cm="1">
        <f t="array" ref="G51">MOD(Teams[[#This Row],[winners]]-_xlfn.XLOOKUP(1,(Table1[year]=Teams[[#This Row],[year]])*(Table1[division]=Teams[[#This Row],[division]]),Table1[drop]),1)*1440</f>
        <v>691.55555555555543</v>
      </c>
      <c r="H51" s="7" t="e">
        <f>(_xlfn.XLOOKUP(Teams[[#This Row],[year]],Table1[year],Table1[cutoff])-Teams[[#This Row],[finish]])*1440</f>
        <v>#VALUE!</v>
      </c>
      <c r="I51" s="6">
        <v>0</v>
      </c>
    </row>
    <row r="52" spans="1:9" x14ac:dyDescent="0.3">
      <c r="A52" t="s">
        <v>241</v>
      </c>
      <c r="B52">
        <v>7</v>
      </c>
      <c r="C52">
        <v>2024</v>
      </c>
      <c r="D52" t="s">
        <v>736</v>
      </c>
      <c r="E52" t="s">
        <v>735</v>
      </c>
      <c r="F52" s="1">
        <f>AVERAGEIFS(Teams[finish],Teams[year],Teams[[#This Row],[year]],Teams[division],Teams[[#This Row],[division]],Teams[college],"&lt;&gt;Div *")</f>
        <v>0.65364583333333337</v>
      </c>
      <c r="G52" s="7" cm="1">
        <f t="array" ref="G52">MOD(Teams[[#This Row],[winners]]-_xlfn.XLOOKUP(1,(Table1[year]=Teams[[#This Row],[year]])*(Table1[division]=Teams[[#This Row],[division]]),Table1[drop]),1)*1440</f>
        <v>661.25000000000011</v>
      </c>
      <c r="H52" s="7" t="e">
        <f>(_xlfn.XLOOKUP(Teams[[#This Row],[year]],Table1[year],Table1[cutoff])-Teams[[#This Row],[finish]])*1440</f>
        <v>#VALUE!</v>
      </c>
      <c r="I52" s="6">
        <v>0</v>
      </c>
    </row>
    <row r="53" spans="1:9" x14ac:dyDescent="0.3">
      <c r="A53" t="s">
        <v>760</v>
      </c>
      <c r="B53">
        <v>6</v>
      </c>
      <c r="C53">
        <v>2025</v>
      </c>
      <c r="D53" t="s">
        <v>735</v>
      </c>
      <c r="E53" s="1">
        <v>0.7055555555555556</v>
      </c>
      <c r="F53" s="1">
        <f>AVERAGEIFS(Teams[finish],Teams[year],Teams[[#This Row],[year]],Teams[division],Teams[[#This Row],[division]],Teams[college],"&lt;&gt;Div *")</f>
        <v>0.57067901234567897</v>
      </c>
      <c r="G53" s="7" cm="1">
        <f t="array" ref="G53">MOD(Teams[[#This Row],[winners]]-_xlfn.XLOOKUP(1,(Table1[year]=Teams[[#This Row],[year]])*(Table1[division]=Teams[[#This Row],[division]]),Table1[drop]),1)*1440</f>
        <v>699.77777777777771</v>
      </c>
      <c r="H53" s="7">
        <f>(_xlfn.XLOOKUP(Teams[[#This Row],[year]],Table1[year],Table1[cutoff])-Teams[[#This Row],[finish]])*1440</f>
        <v>3.9999999999999858</v>
      </c>
      <c r="I53" s="6" cm="1">
        <f t="array" ref="I53">(Teams[[#This Row],[remaining]]+60)*Teams[[#This Row],[winners alt]]/_xlfn.XLOOKUP(1,(Table1[year]=Teams[[#This Row],[year]])*(Table1[division]=Teams[[#This Row],[division]]),Table1[available]) +50</f>
        <v>99.872803761445169</v>
      </c>
    </row>
    <row r="54" spans="1:9" x14ac:dyDescent="0.3">
      <c r="A54" t="s">
        <v>755</v>
      </c>
      <c r="B54">
        <v>6</v>
      </c>
      <c r="C54">
        <v>2023</v>
      </c>
      <c r="D54" t="s">
        <v>735</v>
      </c>
      <c r="E54" s="1">
        <v>0.68611111111111112</v>
      </c>
      <c r="F54" s="1">
        <f>AVERAGEIFS(Teams[finish],Teams[year],Teams[[#This Row],[year]],Teams[division],Teams[[#This Row],[division]],Teams[college],"&lt;&gt;Div *")</f>
        <v>0.63140432098765431</v>
      </c>
      <c r="G54" s="7" cm="1">
        <f t="array" ref="G54">MOD(Teams[[#This Row],[winners]]-_xlfn.XLOOKUP(1,(Table1[year]=Teams[[#This Row],[year]])*(Table1[division]=Teams[[#This Row],[division]]),Table1[drop]),1)*1440</f>
        <v>849.22222222222229</v>
      </c>
      <c r="H54" s="7">
        <f>(_xlfn.XLOOKUP(Teams[[#This Row],[year]],Table1[year],Table1[cutoff])-Teams[[#This Row],[finish]])*1440</f>
        <v>1.9999999999999929</v>
      </c>
      <c r="I54" s="6" cm="1">
        <f t="array" ref="I54">(Teams[[#This Row],[remaining]]+60)*Teams[[#This Row],[winners alt]]/_xlfn.XLOOKUP(1,(Table1[year]=Teams[[#This Row],[year]])*(Table1[division]=Teams[[#This Row],[division]]),Table1[available]) +50</f>
        <v>106.61481481481482</v>
      </c>
    </row>
    <row r="55" spans="1:9" x14ac:dyDescent="0.3">
      <c r="A55" t="s">
        <v>123</v>
      </c>
      <c r="B55">
        <v>2</v>
      </c>
      <c r="C55">
        <v>2024</v>
      </c>
      <c r="D55">
        <v>1</v>
      </c>
      <c r="E55" s="2">
        <v>0.48819444444444443</v>
      </c>
      <c r="F55" s="2">
        <f>AVERAGEIFS(Teams[finish],Teams[year],Teams[[#This Row],[year]],Teams[division],Teams[[#This Row],[division]],Teams[college],"&lt;&gt;Div *")</f>
        <v>0.54940476190476184</v>
      </c>
      <c r="G55" s="8" cm="1">
        <f t="array" ref="G55">MOD(Teams[[#This Row],[winners]]-_xlfn.XLOOKUP(1,(Table1[year]=Teams[[#This Row],[year]])*(Table1[division]=Teams[[#This Row],[division]]),Table1[drop]),1)*1440</f>
        <v>876.14285714285711</v>
      </c>
      <c r="H55" s="8">
        <f>(_xlfn.XLOOKUP(Teams[[#This Row],[year]],Table1[year],Table1[cutoff])-Teams[[#This Row],[finish]])*1440</f>
        <v>317.00000000000006</v>
      </c>
      <c r="I55" s="6" cm="1">
        <f t="array" ref="I55">(Teams[[#This Row],[remaining]]+60)*Teams[[#This Row],[winners alt]]/_xlfn.XLOOKUP(1,(Table1[year]=Teams[[#This Row],[year]])*(Table1[division]=Teams[[#This Row],[division]]),Table1[available]) +50</f>
        <v>348.91932773109244</v>
      </c>
    </row>
    <row r="56" spans="1:9" x14ac:dyDescent="0.3">
      <c r="A56" t="s">
        <v>137</v>
      </c>
      <c r="B56">
        <v>6</v>
      </c>
      <c r="C56">
        <v>2023</v>
      </c>
      <c r="D56">
        <v>9</v>
      </c>
      <c r="E56" s="1">
        <v>0.68194444444444446</v>
      </c>
      <c r="F56" s="1">
        <f>AVERAGEIFS(Teams[finish],Teams[year],Teams[[#This Row],[year]],Teams[division],Teams[[#This Row],[division]],Teams[college],"&lt;&gt;Div *")</f>
        <v>0.63140432098765431</v>
      </c>
      <c r="G56" s="7" cm="1">
        <f t="array" ref="G56">MOD(Teams[[#This Row],[winners]]-_xlfn.XLOOKUP(1,(Table1[year]=Teams[[#This Row],[year]])*(Table1[division]=Teams[[#This Row],[division]]),Table1[drop]),1)*1440</f>
        <v>849.22222222222229</v>
      </c>
      <c r="H56" s="7">
        <f>(_xlfn.XLOOKUP(Teams[[#This Row],[year]],Table1[year],Table1[cutoff])-Teams[[#This Row],[finish]])*1440</f>
        <v>7.9999999999999716</v>
      </c>
      <c r="I56" s="6" cm="1">
        <f t="array" ref="I56">(Teams[[#This Row],[remaining]]+60)*Teams[[#This Row],[winners alt]]/_xlfn.XLOOKUP(1,(Table1[year]=Teams[[#This Row],[year]])*(Table1[division]=Teams[[#This Row],[division]]),Table1[available]) +50</f>
        <v>112.09366786140977</v>
      </c>
    </row>
    <row r="57" spans="1:9" x14ac:dyDescent="0.3">
      <c r="A57" t="s">
        <v>250</v>
      </c>
      <c r="B57">
        <v>7</v>
      </c>
      <c r="C57">
        <v>2023</v>
      </c>
      <c r="D57">
        <v>10</v>
      </c>
      <c r="E57" s="2">
        <v>0.6743055555555556</v>
      </c>
      <c r="F57" s="2">
        <f>AVERAGEIFS(Teams[finish],Teams[year],Teams[[#This Row],[year]],Teams[division],Teams[[#This Row],[division]],Teams[college],"&lt;&gt;Div *")</f>
        <v>0.57826388888888891</v>
      </c>
      <c r="G57" s="8" cm="1">
        <f t="array" ref="G57">MOD(Teams[[#This Row],[winners]]-_xlfn.XLOOKUP(1,(Table1[year]=Teams[[#This Row],[year]])*(Table1[division]=Teams[[#This Row],[division]]),Table1[drop]),1)*1440</f>
        <v>620.69999999999993</v>
      </c>
      <c r="H57" s="8">
        <f>(_xlfn.XLOOKUP(Teams[[#This Row],[year]],Table1[year],Table1[cutoff])-Teams[[#This Row],[finish]])*1440</f>
        <v>18.999999999999932</v>
      </c>
      <c r="I57" s="6" cm="1">
        <f t="array" ref="I57">(Teams[[#This Row],[remaining]]+60)*Teams[[#This Row],[winners alt]]/_xlfn.XLOOKUP(1,(Table1[year]=Teams[[#This Row],[year]])*(Table1[division]=Teams[[#This Row],[division]]),Table1[available]) +50</f>
        <v>113.02737789203078</v>
      </c>
    </row>
    <row r="58" spans="1:9" x14ac:dyDescent="0.3">
      <c r="A58" t="s">
        <v>19</v>
      </c>
      <c r="B58">
        <v>3</v>
      </c>
      <c r="C58">
        <v>2024</v>
      </c>
      <c r="D58">
        <v>5</v>
      </c>
      <c r="E58" s="2">
        <v>0.70138888888888884</v>
      </c>
      <c r="F58" s="2">
        <f>AVERAGEIFS(Teams[finish],Teams[year],Teams[[#This Row],[year]],Teams[division],Teams[[#This Row],[division]],Teams[college],"&lt;&gt;Div *")</f>
        <v>0.63777777777777778</v>
      </c>
      <c r="G58" s="8" cm="1">
        <f t="array" ref="G58">MOD(Teams[[#This Row],[winners]]-_xlfn.XLOOKUP(1,(Table1[year]=Teams[[#This Row],[year]])*(Table1[division]=Teams[[#This Row],[division]]),Table1[drop]),1)*1440</f>
        <v>938.4</v>
      </c>
      <c r="H58" s="8">
        <f>(_xlfn.XLOOKUP(Teams[[#This Row],[year]],Table1[year],Table1[cutoff])-Teams[[#This Row],[finish]])*1440</f>
        <v>10.000000000000124</v>
      </c>
      <c r="I58" s="6" cm="1">
        <f t="array" ref="I58">(Teams[[#This Row],[remaining]]+60)*Teams[[#This Row],[winners alt]]/_xlfn.XLOOKUP(1,(Table1[year]=Teams[[#This Row],[year]])*(Table1[division]=Teams[[#This Row],[division]]),Table1[available]) +50</f>
        <v>113.16153846153858</v>
      </c>
    </row>
    <row r="59" spans="1:9" x14ac:dyDescent="0.3">
      <c r="A59" t="s">
        <v>48</v>
      </c>
      <c r="B59">
        <v>5</v>
      </c>
      <c r="C59">
        <v>2023</v>
      </c>
      <c r="D59">
        <v>8</v>
      </c>
      <c r="E59" s="1">
        <v>0.68055555555555558</v>
      </c>
      <c r="F59" s="1">
        <f>AVERAGEIFS(Teams[finish],Teams[year],Teams[[#This Row],[year]],Teams[division],Teams[[#This Row],[division]],Teams[college],"&lt;&gt;Div *")</f>
        <v>0.62942708333333341</v>
      </c>
      <c r="G59" s="7" cm="1">
        <f t="array" ref="G59">MOD(Teams[[#This Row],[winners]]-_xlfn.XLOOKUP(1,(Table1[year]=Teams[[#This Row],[year]])*(Table1[division]=Teams[[#This Row],[division]]),Table1[drop]),1)*1440</f>
        <v>876.37500000000011</v>
      </c>
      <c r="H59" s="7">
        <f>(_xlfn.XLOOKUP(Teams[[#This Row],[year]],Table1[year],Table1[cutoff])-Teams[[#This Row],[finish]])*1440</f>
        <v>9.9999999999999645</v>
      </c>
      <c r="I59" s="6" cm="1">
        <f t="array" ref="I59">(Teams[[#This Row],[remaining]]+60)*Teams[[#This Row],[winners alt]]/_xlfn.XLOOKUP(1,(Table1[year]=Teams[[#This Row],[year]])*(Table1[division]=Teams[[#This Row],[division]]),Table1[available]) +50</f>
        <v>113.90234374999999</v>
      </c>
    </row>
    <row r="60" spans="1:9" x14ac:dyDescent="0.3">
      <c r="A60" t="s">
        <v>123</v>
      </c>
      <c r="B60">
        <v>2</v>
      </c>
      <c r="C60">
        <v>2022</v>
      </c>
      <c r="D60">
        <v>1</v>
      </c>
      <c r="E60" s="1">
        <v>0.48888888888888887</v>
      </c>
      <c r="F60" s="1">
        <f>AVERAGEIFS(Teams[finish],Teams[year],Teams[[#This Row],[year]],Teams[division],Teams[[#This Row],[division]],Teams[college],"&lt;&gt;Div *")</f>
        <v>0.57986111111111105</v>
      </c>
      <c r="G60" s="7" cm="1">
        <f t="array" ref="G60">MOD(Teams[[#This Row],[winners]]-_xlfn.XLOOKUP(1,(Table1[year]=Teams[[#This Row],[year]])*(Table1[division]=Teams[[#This Row],[division]]),Table1[drop]),1)*1440</f>
        <v>892.99999999999989</v>
      </c>
      <c r="H60" s="7">
        <f>(_xlfn.XLOOKUP(Teams[[#This Row],[year]],Table1[year],Table1[cutoff])-Teams[[#This Row],[finish]])*1440</f>
        <v>286</v>
      </c>
      <c r="I60" s="6" cm="1">
        <f t="array" ref="I60">(Teams[[#This Row],[remaining]]+60)*Teams[[#This Row],[winners alt]]/_xlfn.XLOOKUP(1,(Table1[year]=Teams[[#This Row],[year]])*(Table1[division]=Teams[[#This Row],[division]]),Table1[available]) +50</f>
        <v>344.82633587786256</v>
      </c>
    </row>
    <row r="61" spans="1:9" x14ac:dyDescent="0.3">
      <c r="A61" t="s">
        <v>132</v>
      </c>
      <c r="B61">
        <v>6</v>
      </c>
      <c r="C61">
        <v>2022</v>
      </c>
      <c r="D61">
        <v>8</v>
      </c>
      <c r="E61" s="1">
        <v>0.66319444444444442</v>
      </c>
      <c r="F61" s="1">
        <f>AVERAGEIFS(Teams[finish],Teams[year],Teams[[#This Row],[year]],Teams[division],Teams[[#This Row],[division]],Teams[college],"&lt;&gt;Div *")</f>
        <v>0.55651041666666667</v>
      </c>
      <c r="G61" s="7" cm="1">
        <f t="array" ref="G61">MOD(Teams[[#This Row],[winners]]-_xlfn.XLOOKUP(1,(Table1[year]=Teams[[#This Row],[year]])*(Table1[division]=Teams[[#This Row],[division]]),Table1[drop]),1)*1440</f>
        <v>471.37500000000006</v>
      </c>
      <c r="H61" s="7">
        <f>(_xlfn.XLOOKUP(Teams[[#This Row],[year]],Table1[year],Table1[cutoff])-Teams[[#This Row],[finish]])*1440</f>
        <v>35.000000000000036</v>
      </c>
      <c r="I61" s="6" cm="1">
        <f t="array" ref="I61">(Teams[[#This Row],[remaining]]+60)*Teams[[#This Row],[winners alt]]/_xlfn.XLOOKUP(1,(Table1[year]=Teams[[#This Row],[year]])*(Table1[division]=Teams[[#This Row],[division]]),Table1[available]) +50</f>
        <v>117.84943181818186</v>
      </c>
    </row>
    <row r="62" spans="1:9" x14ac:dyDescent="0.3">
      <c r="A62" t="s">
        <v>123</v>
      </c>
      <c r="B62">
        <v>3</v>
      </c>
      <c r="C62">
        <v>2025</v>
      </c>
      <c r="D62">
        <v>2</v>
      </c>
      <c r="E62" s="2">
        <v>0.52083333333333337</v>
      </c>
      <c r="F62" s="2">
        <f>AVERAGEIFS(Teams[finish],Teams[year],Teams[[#This Row],[year]],Teams[division],Teams[[#This Row],[division]],Teams[college],"&lt;&gt;Div *")</f>
        <v>0.56753472222222223</v>
      </c>
      <c r="G62" s="8" cm="1">
        <f t="array" ref="G62">MOD(Teams[[#This Row],[winners]]-_xlfn.XLOOKUP(1,(Table1[year]=Teams[[#This Row],[year]])*(Table1[division]=Teams[[#This Row],[division]]),Table1[drop]),1)*1440</f>
        <v>997.25</v>
      </c>
      <c r="H62" s="8">
        <f>(_xlfn.XLOOKUP(Teams[[#This Row],[year]],Table1[year],Table1[cutoff])-Teams[[#This Row],[finish]])*1440</f>
        <v>270</v>
      </c>
      <c r="I62" s="6" cm="1">
        <f t="array" ref="I62">(Teams[[#This Row],[remaining]]+60)*Teams[[#This Row],[winners alt]]/_xlfn.XLOOKUP(1,(Table1[year]=Teams[[#This Row],[year]])*(Table1[division]=Teams[[#This Row],[division]]),Table1[available]) +50</f>
        <v>324.24374999999998</v>
      </c>
    </row>
    <row r="63" spans="1:9" x14ac:dyDescent="0.3">
      <c r="A63" t="s">
        <v>19</v>
      </c>
      <c r="B63">
        <v>7</v>
      </c>
      <c r="C63">
        <v>2024</v>
      </c>
      <c r="D63">
        <v>6</v>
      </c>
      <c r="E63" s="2">
        <v>0.6958333333333333</v>
      </c>
      <c r="F63" s="2">
        <f>AVERAGEIFS(Teams[finish],Teams[year],Teams[[#This Row],[year]],Teams[division],Teams[[#This Row],[division]],Teams[college],"&lt;&gt;Div *")</f>
        <v>0.65364583333333337</v>
      </c>
      <c r="G63" s="8" cm="1">
        <f t="array" ref="G63">MOD(Teams[[#This Row],[winners]]-_xlfn.XLOOKUP(1,(Table1[year]=Teams[[#This Row],[year]])*(Table1[division]=Teams[[#This Row],[division]]),Table1[drop]),1)*1440</f>
        <v>661.25000000000011</v>
      </c>
      <c r="H63" s="8">
        <f>(_xlfn.XLOOKUP(Teams[[#This Row],[year]],Table1[year],Table1[cutoff])-Teams[[#This Row],[finish]])*1440</f>
        <v>18.000000000000096</v>
      </c>
      <c r="I63" s="6" cm="1">
        <f t="array" ref="I63">(Teams[[#This Row],[remaining]]+60)*Teams[[#This Row],[winners alt]]/_xlfn.XLOOKUP(1,(Table1[year]=Teams[[#This Row],[year]])*(Table1[division]=Teams[[#This Row],[division]]),Table1[available]) +50</f>
        <v>119.69932432432441</v>
      </c>
    </row>
    <row r="64" spans="1:9" x14ac:dyDescent="0.3">
      <c r="A64" t="s">
        <v>48</v>
      </c>
      <c r="B64">
        <v>7</v>
      </c>
      <c r="C64">
        <v>2024</v>
      </c>
      <c r="D64">
        <v>6</v>
      </c>
      <c r="E64" s="2">
        <v>0.6958333333333333</v>
      </c>
      <c r="F64" s="2">
        <f>AVERAGEIFS(Teams[finish],Teams[year],Teams[[#This Row],[year]],Teams[division],Teams[[#This Row],[division]],Teams[college],"&lt;&gt;Div *")</f>
        <v>0.65364583333333337</v>
      </c>
      <c r="G64" s="8" cm="1">
        <f t="array" ref="G64">MOD(Teams[[#This Row],[winners]]-_xlfn.XLOOKUP(1,(Table1[year]=Teams[[#This Row],[year]])*(Table1[division]=Teams[[#This Row],[division]]),Table1[drop]),1)*1440</f>
        <v>661.25000000000011</v>
      </c>
      <c r="H64" s="8">
        <f>(_xlfn.XLOOKUP(Teams[[#This Row],[year]],Table1[year],Table1[cutoff])-Teams[[#This Row],[finish]])*1440</f>
        <v>18.000000000000096</v>
      </c>
      <c r="I64" s="6" cm="1">
        <f t="array" ref="I64">(Teams[[#This Row],[remaining]]+60)*Teams[[#This Row],[winners alt]]/_xlfn.XLOOKUP(1,(Table1[year]=Teams[[#This Row],[year]])*(Table1[division]=Teams[[#This Row],[division]]),Table1[available]) +50</f>
        <v>119.69932432432441</v>
      </c>
    </row>
    <row r="65" spans="1:9" x14ac:dyDescent="0.3">
      <c r="A65" t="s">
        <v>132</v>
      </c>
      <c r="B65">
        <v>1</v>
      </c>
      <c r="C65">
        <v>2024</v>
      </c>
      <c r="D65">
        <v>8</v>
      </c>
      <c r="E65" s="2">
        <v>0.69374999999999998</v>
      </c>
      <c r="F65" s="2">
        <f>AVERAGEIFS(Teams[finish],Teams[year],Teams[[#This Row],[year]],Teams[division],Teams[[#This Row],[division]],Teams[college],"&lt;&gt;Div *")</f>
        <v>0.60277777777777775</v>
      </c>
      <c r="G65" s="8" cm="1">
        <f t="array" ref="G65">MOD(Teams[[#This Row],[winners]]-_xlfn.XLOOKUP(1,(Table1[year]=Teams[[#This Row],[year]])*(Table1[division]=Teams[[#This Row],[division]]),Table1[drop]),1)*1440</f>
        <v>1084</v>
      </c>
      <c r="H65" s="8">
        <f>(_xlfn.XLOOKUP(Teams[[#This Row],[year]],Table1[year],Table1[cutoff])-Teams[[#This Row],[finish]])*1440</f>
        <v>21.000000000000085</v>
      </c>
      <c r="I65" s="6" cm="1">
        <f t="array" ref="I65">(Teams[[#This Row],[remaining]]+60)*Teams[[#This Row],[winners alt]]/_xlfn.XLOOKUP(1,(Table1[year]=Teams[[#This Row],[year]])*(Table1[division]=Teams[[#This Row],[division]]),Table1[available]) +50</f>
        <v>121.03883495145638</v>
      </c>
    </row>
    <row r="66" spans="1:9" x14ac:dyDescent="0.3">
      <c r="A66" t="s">
        <v>15</v>
      </c>
      <c r="B66">
        <v>2</v>
      </c>
      <c r="C66">
        <v>2022</v>
      </c>
      <c r="D66">
        <v>2</v>
      </c>
      <c r="E66" s="1">
        <v>0.67083333333333328</v>
      </c>
      <c r="F66" s="1">
        <f>AVERAGEIFS(Teams[finish],Teams[year],Teams[[#This Row],[year]],Teams[division],Teams[[#This Row],[division]],Teams[college],"&lt;&gt;Div *")</f>
        <v>0.57986111111111105</v>
      </c>
      <c r="G66" s="7" cm="1">
        <f t="array" ref="G66">MOD(Teams[[#This Row],[winners]]-_xlfn.XLOOKUP(1,(Table1[year]=Teams[[#This Row],[year]])*(Table1[division]=Teams[[#This Row],[division]]),Table1[drop]),1)*1440</f>
        <v>892.99999999999989</v>
      </c>
      <c r="H66" s="7">
        <f>(_xlfn.XLOOKUP(Teams[[#This Row],[year]],Table1[year],Table1[cutoff])-Teams[[#This Row],[finish]])*1440</f>
        <v>24.000000000000075</v>
      </c>
      <c r="I66" s="6" cm="1">
        <f t="array" ref="I66">(Teams[[#This Row],[remaining]]+60)*Teams[[#This Row],[winners alt]]/_xlfn.XLOOKUP(1,(Table1[year]=Teams[[#This Row],[year]])*(Table1[division]=Teams[[#This Row],[division]]),Table1[available]) +50</f>
        <v>121.57633587786265</v>
      </c>
    </row>
    <row r="67" spans="1:9" x14ac:dyDescent="0.3">
      <c r="A67" t="s">
        <v>10</v>
      </c>
      <c r="B67">
        <v>7</v>
      </c>
      <c r="C67">
        <v>2024</v>
      </c>
      <c r="D67">
        <v>5</v>
      </c>
      <c r="E67" s="2">
        <v>0.69374999999999998</v>
      </c>
      <c r="F67" s="2">
        <f>AVERAGEIFS(Teams[finish],Teams[year],Teams[[#This Row],[year]],Teams[division],Teams[[#This Row],[division]],Teams[college],"&lt;&gt;Div *")</f>
        <v>0.65364583333333337</v>
      </c>
      <c r="G67" s="8" cm="1">
        <f t="array" ref="G67">MOD(Teams[[#This Row],[winners]]-_xlfn.XLOOKUP(1,(Table1[year]=Teams[[#This Row],[year]])*(Table1[division]=Teams[[#This Row],[division]]),Table1[drop]),1)*1440</f>
        <v>661.25000000000011</v>
      </c>
      <c r="H67" s="8">
        <f>(_xlfn.XLOOKUP(Teams[[#This Row],[year]],Table1[year],Table1[cutoff])-Teams[[#This Row],[finish]])*1440</f>
        <v>21.000000000000085</v>
      </c>
      <c r="I67" s="6" cm="1">
        <f t="array" ref="I67">(Teams[[#This Row],[remaining]]+60)*Teams[[#This Row],[winners alt]]/_xlfn.XLOOKUP(1,(Table1[year]=Teams[[#This Row],[year]])*(Table1[division]=Teams[[#This Row],[division]]),Table1[available]) +50</f>
        <v>122.38006756756765</v>
      </c>
    </row>
    <row r="68" spans="1:9" x14ac:dyDescent="0.3">
      <c r="A68" t="s">
        <v>266</v>
      </c>
      <c r="B68">
        <v>1</v>
      </c>
      <c r="C68">
        <v>2024</v>
      </c>
      <c r="D68">
        <v>7</v>
      </c>
      <c r="E68" s="2">
        <v>0.69097222222222221</v>
      </c>
      <c r="F68" s="2">
        <f>AVERAGEIFS(Teams[finish],Teams[year],Teams[[#This Row],[year]],Teams[division],Teams[[#This Row],[division]],Teams[college],"&lt;&gt;Div *")</f>
        <v>0.60277777777777775</v>
      </c>
      <c r="G68" s="8" cm="1">
        <f t="array" ref="G68">MOD(Teams[[#This Row],[winners]]-_xlfn.XLOOKUP(1,(Table1[year]=Teams[[#This Row],[year]])*(Table1[division]=Teams[[#This Row],[division]]),Table1[drop]),1)*1440</f>
        <v>1084</v>
      </c>
      <c r="H68" s="8">
        <f>(_xlfn.XLOOKUP(Teams[[#This Row],[year]],Table1[year],Table1[cutoff])-Teams[[#This Row],[finish]])*1440</f>
        <v>25.000000000000071</v>
      </c>
      <c r="I68" s="6" cm="1">
        <f t="array" ref="I68">(Teams[[#This Row],[remaining]]+60)*Teams[[#This Row],[winners alt]]/_xlfn.XLOOKUP(1,(Table1[year]=Teams[[#This Row],[year]])*(Table1[division]=Teams[[#This Row],[division]]),Table1[available]) +50</f>
        <v>124.54692556634311</v>
      </c>
    </row>
    <row r="69" spans="1:9" x14ac:dyDescent="0.3">
      <c r="A69" t="s">
        <v>5</v>
      </c>
      <c r="B69">
        <v>6</v>
      </c>
      <c r="C69">
        <v>2023</v>
      </c>
      <c r="D69">
        <v>8</v>
      </c>
      <c r="E69" s="1">
        <v>0.67222222222222228</v>
      </c>
      <c r="F69" s="1">
        <f>AVERAGEIFS(Teams[finish],Teams[year],Teams[[#This Row],[year]],Teams[division],Teams[[#This Row],[division]],Teams[college],"&lt;&gt;Div *")</f>
        <v>0.63140432098765431</v>
      </c>
      <c r="G69" s="7" cm="1">
        <f t="array" ref="G69">MOD(Teams[[#This Row],[winners]]-_xlfn.XLOOKUP(1,(Table1[year]=Teams[[#This Row],[year]])*(Table1[division]=Teams[[#This Row],[division]]),Table1[drop]),1)*1440</f>
        <v>849.22222222222229</v>
      </c>
      <c r="H69" s="7">
        <f>(_xlfn.XLOOKUP(Teams[[#This Row],[year]],Table1[year],Table1[cutoff])-Teams[[#This Row],[finish]])*1440</f>
        <v>21.999999999999922</v>
      </c>
      <c r="I69" s="6" cm="1">
        <f t="array" ref="I69">(Teams[[#This Row],[remaining]]+60)*Teams[[#This Row],[winners alt]]/_xlfn.XLOOKUP(1,(Table1[year]=Teams[[#This Row],[year]])*(Table1[division]=Teams[[#This Row],[division]]),Table1[available]) +50</f>
        <v>124.87765830346468</v>
      </c>
    </row>
    <row r="70" spans="1:9" x14ac:dyDescent="0.3">
      <c r="A70" t="s">
        <v>19</v>
      </c>
      <c r="B70">
        <v>6</v>
      </c>
      <c r="C70">
        <v>2023</v>
      </c>
      <c r="D70">
        <v>7</v>
      </c>
      <c r="E70" s="1">
        <v>0.67152777777777772</v>
      </c>
      <c r="F70" s="1">
        <f>AVERAGEIFS(Teams[finish],Teams[year],Teams[[#This Row],[year]],Teams[division],Teams[[#This Row],[division]],Teams[college],"&lt;&gt;Div *")</f>
        <v>0.63140432098765431</v>
      </c>
      <c r="G70" s="7" cm="1">
        <f t="array" ref="G70">MOD(Teams[[#This Row],[winners]]-_xlfn.XLOOKUP(1,(Table1[year]=Teams[[#This Row],[year]])*(Table1[division]=Teams[[#This Row],[division]]),Table1[drop]),1)*1440</f>
        <v>849.22222222222229</v>
      </c>
      <c r="H70" s="7">
        <f>(_xlfn.XLOOKUP(Teams[[#This Row],[year]],Table1[year],Table1[cutoff])-Teams[[#This Row],[finish]])*1440</f>
        <v>23.000000000000078</v>
      </c>
      <c r="I70" s="6" cm="1">
        <f t="array" ref="I70">(Teams[[#This Row],[remaining]]+60)*Teams[[#This Row],[winners alt]]/_xlfn.XLOOKUP(1,(Table1[year]=Teams[[#This Row],[year]])*(Table1[division]=Teams[[#This Row],[division]]),Table1[available]) +50</f>
        <v>125.79080047789733</v>
      </c>
    </row>
    <row r="71" spans="1:9" x14ac:dyDescent="0.3">
      <c r="A71" t="s">
        <v>15</v>
      </c>
      <c r="B71">
        <v>4</v>
      </c>
      <c r="C71">
        <v>2024</v>
      </c>
      <c r="D71">
        <v>7</v>
      </c>
      <c r="E71" s="2">
        <v>0.69097222222222221</v>
      </c>
      <c r="F71" s="2">
        <f>AVERAGEIFS(Teams[finish],Teams[year],Teams[[#This Row],[year]],Teams[division],Teams[[#This Row],[division]],Teams[college],"&lt;&gt;Div *")</f>
        <v>0.65188492063492054</v>
      </c>
      <c r="G71" s="8" cm="1">
        <f t="array" ref="G71">MOD(Teams[[#This Row],[winners]]-_xlfn.XLOOKUP(1,(Table1[year]=Teams[[#This Row],[year]])*(Table1[division]=Teams[[#This Row],[division]]),Table1[drop]),1)*1440</f>
        <v>777.71428571428555</v>
      </c>
      <c r="H71" s="8">
        <f>(_xlfn.XLOOKUP(Teams[[#This Row],[year]],Table1[year],Table1[cutoff])-Teams[[#This Row],[finish]])*1440</f>
        <v>25.000000000000071</v>
      </c>
      <c r="I71" s="6" cm="1">
        <f t="array" ref="I71">(Teams[[#This Row],[remaining]]+60)*Teams[[#This Row],[winners alt]]/_xlfn.XLOOKUP(1,(Table1[year]=Teams[[#This Row],[year]])*(Table1[division]=Teams[[#This Row],[division]]),Table1[available]) +50</f>
        <v>126.95659404623322</v>
      </c>
    </row>
    <row r="72" spans="1:9" x14ac:dyDescent="0.3">
      <c r="A72" t="s">
        <v>250</v>
      </c>
      <c r="B72">
        <v>4</v>
      </c>
      <c r="C72">
        <v>2025</v>
      </c>
      <c r="D72">
        <v>8</v>
      </c>
      <c r="E72" s="2">
        <v>0.6875</v>
      </c>
      <c r="F72" s="2">
        <f>AVERAGEIFS(Teams[finish],Teams[year],Teams[[#This Row],[year]],Teams[division],Teams[[#This Row],[division]],Teams[college],"&lt;&gt;Div *")</f>
        <v>0.61206597222222225</v>
      </c>
      <c r="G72" s="8" cm="1">
        <f t="array" ref="G72">MOD(Teams[[#This Row],[winners]]-_xlfn.XLOOKUP(1,(Table1[year]=Teams[[#This Row],[year]])*(Table1[division]=Teams[[#This Row],[division]]),Table1[drop]),1)*1440</f>
        <v>933.375</v>
      </c>
      <c r="H72" s="8">
        <f>(_xlfn.XLOOKUP(Teams[[#This Row],[year]],Table1[year],Table1[cutoff])-Teams[[#This Row],[finish]])*1440</f>
        <v>30.000000000000053</v>
      </c>
      <c r="I72" s="6" cm="1">
        <f t="array" ref="I72">(Teams[[#This Row],[remaining]]+60)*Teams[[#This Row],[winners alt]]/_xlfn.XLOOKUP(1,(Table1[year]=Teams[[#This Row],[year]])*(Table1[division]=Teams[[#This Row],[division]]),Table1[available]) +50</f>
        <v>128.36170708955228</v>
      </c>
    </row>
    <row r="73" spans="1:9" x14ac:dyDescent="0.3">
      <c r="A73" t="s">
        <v>250</v>
      </c>
      <c r="B73">
        <v>1</v>
      </c>
      <c r="C73">
        <v>2025</v>
      </c>
      <c r="D73">
        <v>9</v>
      </c>
      <c r="E73" s="2">
        <v>0.68680555555555556</v>
      </c>
      <c r="F73" s="2">
        <f>AVERAGEIFS(Teams[finish],Teams[year],Teams[[#This Row],[year]],Teams[division],Teams[[#This Row],[division]],Teams[college],"&lt;&gt;Div *")</f>
        <v>0.58533950617283947</v>
      </c>
      <c r="G73" s="8" cm="1">
        <f t="array" ref="G73">MOD(Teams[[#This Row],[winners]]-_xlfn.XLOOKUP(1,(Table1[year]=Teams[[#This Row],[year]])*(Table1[division]=Teams[[#This Row],[division]]),Table1[drop]),1)*1440</f>
        <v>1129.8888888888887</v>
      </c>
      <c r="H73" s="8">
        <f>(_xlfn.XLOOKUP(Teams[[#This Row],[year]],Table1[year],Table1[cutoff])-Teams[[#This Row],[finish]])*1440</f>
        <v>31.00000000000005</v>
      </c>
      <c r="I73" s="6" cm="1">
        <f t="array" ref="I73">(Teams[[#This Row],[remaining]]+60)*Teams[[#This Row],[winners alt]]/_xlfn.XLOOKUP(1,(Table1[year]=Teams[[#This Row],[year]])*(Table1[division]=Teams[[#This Row],[division]]),Table1[available]) +50</f>
        <v>128.6686219501828</v>
      </c>
    </row>
    <row r="74" spans="1:9" x14ac:dyDescent="0.3">
      <c r="A74" t="s">
        <v>759</v>
      </c>
      <c r="B74">
        <v>6</v>
      </c>
      <c r="C74">
        <v>2025</v>
      </c>
      <c r="D74" t="s">
        <v>735</v>
      </c>
      <c r="E74" s="1">
        <v>0.68263888888888891</v>
      </c>
      <c r="F74" s="1">
        <f>AVERAGEIFS(Teams[finish],Teams[year],Teams[[#This Row],[year]],Teams[division],Teams[[#This Row],[division]],Teams[college],"&lt;&gt;Div *")</f>
        <v>0.57067901234567897</v>
      </c>
      <c r="G74" s="7" cm="1">
        <f t="array" ref="G74">MOD(Teams[[#This Row],[winners]]-_xlfn.XLOOKUP(1,(Table1[year]=Teams[[#This Row],[year]])*(Table1[division]=Teams[[#This Row],[division]]),Table1[drop]),1)*1440</f>
        <v>699.77777777777771</v>
      </c>
      <c r="H74" s="7">
        <f>(_xlfn.XLOOKUP(Teams[[#This Row],[year]],Table1[year],Table1[cutoff])-Teams[[#This Row],[finish]])*1440</f>
        <v>37.000000000000028</v>
      </c>
      <c r="I74" s="6" cm="1">
        <f t="array" ref="I74">(Teams[[#This Row],[remaining]]+60)*Teams[[#This Row],[winners alt]]/_xlfn.XLOOKUP(1,(Table1[year]=Teams[[#This Row],[year]])*(Table1[division]=Teams[[#This Row],[division]]),Table1[available]) +50</f>
        <v>125.58846820094037</v>
      </c>
    </row>
    <row r="75" spans="1:9" x14ac:dyDescent="0.3">
      <c r="A75" t="s">
        <v>48</v>
      </c>
      <c r="B75">
        <v>6</v>
      </c>
      <c r="C75">
        <v>2023</v>
      </c>
      <c r="D75">
        <v>6</v>
      </c>
      <c r="E75" s="1">
        <v>0.66874999999999996</v>
      </c>
      <c r="F75" s="1">
        <f>AVERAGEIFS(Teams[finish],Teams[year],Teams[[#This Row],[year]],Teams[division],Teams[[#This Row],[division]],Teams[college],"&lt;&gt;Div *")</f>
        <v>0.63140432098765431</v>
      </c>
      <c r="G75" s="7" cm="1">
        <f t="array" ref="G75">MOD(Teams[[#This Row],[winners]]-_xlfn.XLOOKUP(1,(Table1[year]=Teams[[#This Row],[year]])*(Table1[division]=Teams[[#This Row],[division]]),Table1[drop]),1)*1440</f>
        <v>849.22222222222229</v>
      </c>
      <c r="H75" s="7">
        <f>(_xlfn.XLOOKUP(Teams[[#This Row],[year]],Table1[year],Table1[cutoff])-Teams[[#This Row],[finish]])*1440</f>
        <v>27.000000000000064</v>
      </c>
      <c r="I75" s="6" cm="1">
        <f t="array" ref="I75">(Teams[[#This Row],[remaining]]+60)*Teams[[#This Row],[winners alt]]/_xlfn.XLOOKUP(1,(Table1[year]=Teams[[#This Row],[year]])*(Table1[division]=Teams[[#This Row],[division]]),Table1[available]) +50</f>
        <v>129.44336917562731</v>
      </c>
    </row>
    <row r="76" spans="1:9" x14ac:dyDescent="0.3">
      <c r="A76" t="s">
        <v>137</v>
      </c>
      <c r="B76">
        <v>5</v>
      </c>
      <c r="C76">
        <v>2023</v>
      </c>
      <c r="D76">
        <v>6</v>
      </c>
      <c r="E76" s="1">
        <v>0.66666666666666663</v>
      </c>
      <c r="F76" s="1">
        <f>AVERAGEIFS(Teams[finish],Teams[year],Teams[[#This Row],[year]],Teams[division],Teams[[#This Row],[division]],Teams[college],"&lt;&gt;Div *")</f>
        <v>0.62942708333333341</v>
      </c>
      <c r="G76" s="7" cm="1">
        <f t="array" ref="G76">MOD(Teams[[#This Row],[winners]]-_xlfn.XLOOKUP(1,(Table1[year]=Teams[[#This Row],[year]])*(Table1[division]=Teams[[#This Row],[division]]),Table1[drop]),1)*1440</f>
        <v>876.37500000000011</v>
      </c>
      <c r="H76" s="7">
        <f>(_xlfn.XLOOKUP(Teams[[#This Row],[year]],Table1[year],Table1[cutoff])-Teams[[#This Row],[finish]])*1440</f>
        <v>30.000000000000053</v>
      </c>
      <c r="I76" s="6" cm="1">
        <f t="array" ref="I76">(Teams[[#This Row],[remaining]]+60)*Teams[[#This Row],[winners alt]]/_xlfn.XLOOKUP(1,(Table1[year]=Teams[[#This Row],[year]])*(Table1[division]=Teams[[#This Row],[division]]),Table1[available]) +50</f>
        <v>132.16015625000006</v>
      </c>
    </row>
    <row r="77" spans="1:9" x14ac:dyDescent="0.3">
      <c r="A77" t="s">
        <v>19</v>
      </c>
      <c r="B77">
        <v>1</v>
      </c>
      <c r="C77">
        <v>2024</v>
      </c>
      <c r="D77">
        <v>6</v>
      </c>
      <c r="E77" s="2">
        <v>0.68402777777777779</v>
      </c>
      <c r="F77" s="2">
        <f>AVERAGEIFS(Teams[finish],Teams[year],Teams[[#This Row],[year]],Teams[division],Teams[[#This Row],[division]],Teams[college],"&lt;&gt;Div *")</f>
        <v>0.60277777777777775</v>
      </c>
      <c r="G77" s="8" cm="1">
        <f t="array" ref="G77">MOD(Teams[[#This Row],[winners]]-_xlfn.XLOOKUP(1,(Table1[year]=Teams[[#This Row],[year]])*(Table1[division]=Teams[[#This Row],[division]]),Table1[drop]),1)*1440</f>
        <v>1084</v>
      </c>
      <c r="H77" s="8">
        <f>(_xlfn.XLOOKUP(Teams[[#This Row],[year]],Table1[year],Table1[cutoff])-Teams[[#This Row],[finish]])*1440</f>
        <v>35.000000000000036</v>
      </c>
      <c r="I77" s="6" cm="1">
        <f t="array" ref="I77">(Teams[[#This Row],[remaining]]+60)*Teams[[#This Row],[winners alt]]/_xlfn.XLOOKUP(1,(Table1[year]=Teams[[#This Row],[year]])*(Table1[division]=Teams[[#This Row],[division]]),Table1[available]) +50</f>
        <v>133.31715210355989</v>
      </c>
    </row>
    <row r="78" spans="1:9" x14ac:dyDescent="0.3">
      <c r="A78" t="s">
        <v>19</v>
      </c>
      <c r="B78">
        <v>4</v>
      </c>
      <c r="C78">
        <v>2023</v>
      </c>
      <c r="D78">
        <v>7</v>
      </c>
      <c r="E78" s="1">
        <v>0.66249999999999998</v>
      </c>
      <c r="F78" s="1">
        <f>AVERAGEIFS(Teams[finish],Teams[year],Teams[[#This Row],[year]],Teams[division],Teams[[#This Row],[division]],Teams[college],"&lt;&gt;Div *")</f>
        <v>0.59335317460317449</v>
      </c>
      <c r="G78" s="7" cm="1">
        <f t="array" ref="G78">MOD(Teams[[#This Row],[winners]]-_xlfn.XLOOKUP(1,(Table1[year]=Teams[[#This Row],[year]])*(Table1[division]=Teams[[#This Row],[division]]),Table1[drop]),1)*1440</f>
        <v>944.42857142857122</v>
      </c>
      <c r="H78" s="7">
        <f>(_xlfn.XLOOKUP(Teams[[#This Row],[year]],Table1[year],Table1[cutoff])-Teams[[#This Row],[finish]])*1440</f>
        <v>36.000000000000028</v>
      </c>
      <c r="I78" s="6" cm="1">
        <f t="array" ref="I78">(Teams[[#This Row],[remaining]]+60)*Teams[[#This Row],[winners alt]]/_xlfn.XLOOKUP(1,(Table1[year]=Teams[[#This Row],[year]])*(Table1[division]=Teams[[#This Row],[division]]),Table1[available]) +50</f>
        <v>133.94920634920635</v>
      </c>
    </row>
    <row r="79" spans="1:9" x14ac:dyDescent="0.3">
      <c r="A79" t="s">
        <v>137</v>
      </c>
      <c r="B79">
        <v>3</v>
      </c>
      <c r="C79">
        <v>2024</v>
      </c>
      <c r="D79">
        <v>4</v>
      </c>
      <c r="E79" s="2">
        <v>0.68402777777777779</v>
      </c>
      <c r="F79" s="2">
        <f>AVERAGEIFS(Teams[finish],Teams[year],Teams[[#This Row],[year]],Teams[division],Teams[[#This Row],[division]],Teams[college],"&lt;&gt;Div *")</f>
        <v>0.63777777777777778</v>
      </c>
      <c r="G79" s="8" cm="1">
        <f t="array" ref="G79">MOD(Teams[[#This Row],[winners]]-_xlfn.XLOOKUP(1,(Table1[year]=Teams[[#This Row],[year]])*(Table1[division]=Teams[[#This Row],[division]]),Table1[drop]),1)*1440</f>
        <v>938.4</v>
      </c>
      <c r="H79" s="8">
        <f>(_xlfn.XLOOKUP(Teams[[#This Row],[year]],Table1[year],Table1[cutoff])-Teams[[#This Row],[finish]])*1440</f>
        <v>35.000000000000036</v>
      </c>
      <c r="I79" s="6" cm="1">
        <f t="array" ref="I79">(Teams[[#This Row],[remaining]]+60)*Teams[[#This Row],[winners alt]]/_xlfn.XLOOKUP(1,(Table1[year]=Teams[[#This Row],[year]])*(Table1[division]=Teams[[#This Row],[division]]),Table1[available]) +50</f>
        <v>135.71923076923079</v>
      </c>
    </row>
    <row r="80" spans="1:9" x14ac:dyDescent="0.3">
      <c r="A80" t="s">
        <v>757</v>
      </c>
      <c r="B80">
        <v>5</v>
      </c>
      <c r="C80">
        <v>2024</v>
      </c>
      <c r="D80" t="s">
        <v>735</v>
      </c>
      <c r="E80" s="1">
        <v>0.67708333333333337</v>
      </c>
      <c r="F80" s="1">
        <f>AVERAGEIFS(Teams[finish],Teams[year],Teams[[#This Row],[year]],Teams[division],Teams[[#This Row],[division]],Teams[college],"&lt;&gt;Div *")</f>
        <v>0.61149691358024683</v>
      </c>
      <c r="G80" s="7" cm="1">
        <f t="array" ref="G80">MOD(Teams[[#This Row],[winners]]-_xlfn.XLOOKUP(1,(Table1[year]=Teams[[#This Row],[year]])*(Table1[division]=Teams[[#This Row],[division]]),Table1[drop]),1)*1440</f>
        <v>691.55555555555543</v>
      </c>
      <c r="H80" s="7">
        <f>(_xlfn.XLOOKUP(Teams[[#This Row],[year]],Table1[year],Table1[cutoff])-Teams[[#This Row],[finish]])*1440</f>
        <v>45</v>
      </c>
      <c r="I80" s="6" cm="1">
        <f t="array" ref="I80">(Teams[[#This Row],[remaining]]+60)*Teams[[#This Row],[winners alt]]/_xlfn.XLOOKUP(1,(Table1[year]=Teams[[#This Row],[year]])*(Table1[division]=Teams[[#This Row],[division]]),Table1[available]) +50</f>
        <v>137.38066586442034</v>
      </c>
    </row>
    <row r="81" spans="1:9" x14ac:dyDescent="0.3">
      <c r="A81" t="s">
        <v>48</v>
      </c>
      <c r="B81">
        <v>6</v>
      </c>
      <c r="C81">
        <v>2022</v>
      </c>
      <c r="D81">
        <v>7</v>
      </c>
      <c r="E81" s="1">
        <v>0.64305555555555549</v>
      </c>
      <c r="F81" s="1">
        <f>AVERAGEIFS(Teams[finish],Teams[year],Teams[[#This Row],[year]],Teams[division],Teams[[#This Row],[division]],Teams[college],"&lt;&gt;Div *")</f>
        <v>0.55651041666666667</v>
      </c>
      <c r="G81" s="7" cm="1">
        <f t="array" ref="G81">MOD(Teams[[#This Row],[winners]]-_xlfn.XLOOKUP(1,(Table1[year]=Teams[[#This Row],[year]])*(Table1[division]=Teams[[#This Row],[division]]),Table1[drop]),1)*1440</f>
        <v>471.37500000000006</v>
      </c>
      <c r="H81" s="7">
        <f>(_xlfn.XLOOKUP(Teams[[#This Row],[year]],Table1[year],Table1[cutoff])-Teams[[#This Row],[finish]])*1440</f>
        <v>64.000000000000085</v>
      </c>
      <c r="I81" s="6" cm="1">
        <f t="array" ref="I81">(Teams[[#This Row],[remaining]]+60)*Teams[[#This Row],[winners alt]]/_xlfn.XLOOKUP(1,(Table1[year]=Teams[[#This Row],[year]])*(Table1[division]=Teams[[#This Row],[division]]),Table1[available]) +50</f>
        <v>138.56136363636369</v>
      </c>
    </row>
    <row r="82" spans="1:9" x14ac:dyDescent="0.3">
      <c r="A82" t="s">
        <v>5</v>
      </c>
      <c r="B82">
        <v>6</v>
      </c>
      <c r="C82">
        <v>2022</v>
      </c>
      <c r="D82">
        <v>6</v>
      </c>
      <c r="E82" s="1">
        <v>0.64097222222222217</v>
      </c>
      <c r="F82" s="1">
        <f>AVERAGEIFS(Teams[finish],Teams[year],Teams[[#This Row],[year]],Teams[division],Teams[[#This Row],[division]],Teams[college],"&lt;&gt;Div *")</f>
        <v>0.55651041666666667</v>
      </c>
      <c r="G82" s="7" cm="1">
        <f t="array" ref="G82">MOD(Teams[[#This Row],[winners]]-_xlfn.XLOOKUP(1,(Table1[year]=Teams[[#This Row],[year]])*(Table1[division]=Teams[[#This Row],[division]]),Table1[drop]),1)*1440</f>
        <v>471.37500000000006</v>
      </c>
      <c r="H82" s="7">
        <f>(_xlfn.XLOOKUP(Teams[[#This Row],[year]],Table1[year],Table1[cutoff])-Teams[[#This Row],[finish]])*1440</f>
        <v>67.000000000000085</v>
      </c>
      <c r="I82" s="6" cm="1">
        <f t="array" ref="I82">(Teams[[#This Row],[remaining]]+60)*Teams[[#This Row],[winners alt]]/_xlfn.XLOOKUP(1,(Table1[year]=Teams[[#This Row],[year]])*(Table1[division]=Teams[[#This Row],[division]]),Table1[available]) +50</f>
        <v>140.70397727272734</v>
      </c>
    </row>
    <row r="83" spans="1:9" x14ac:dyDescent="0.3">
      <c r="A83" t="s">
        <v>266</v>
      </c>
      <c r="B83">
        <v>6</v>
      </c>
      <c r="C83">
        <v>2025</v>
      </c>
      <c r="D83">
        <v>8</v>
      </c>
      <c r="E83" s="2">
        <v>0.67152777777777772</v>
      </c>
      <c r="F83" s="2">
        <f>AVERAGEIFS(Teams[finish],Teams[year],Teams[[#This Row],[year]],Teams[division],Teams[[#This Row],[division]],Teams[college],"&lt;&gt;Div *")</f>
        <v>0.57067901234567897</v>
      </c>
      <c r="G83" s="8" cm="1">
        <f t="array" ref="G83">MOD(Teams[[#This Row],[winners]]-_xlfn.XLOOKUP(1,(Table1[year]=Teams[[#This Row],[year]])*(Table1[division]=Teams[[#This Row],[division]]),Table1[drop]),1)*1440</f>
        <v>699.77777777777771</v>
      </c>
      <c r="H83" s="8">
        <f>(_xlfn.XLOOKUP(Teams[[#This Row],[year]],Table1[year],Table1[cutoff])-Teams[[#This Row],[finish]])*1440</f>
        <v>53.000000000000128</v>
      </c>
      <c r="I83" s="6" cm="1">
        <f t="array" ref="I83">(Teams[[#This Row],[remaining]]+60)*Teams[[#This Row],[winners alt]]/_xlfn.XLOOKUP(1,(Table1[year]=Teams[[#This Row],[year]])*(Table1[division]=Teams[[#This Row],[division]]),Table1[available]) +50</f>
        <v>138.05666914130177</v>
      </c>
    </row>
    <row r="84" spans="1:9" x14ac:dyDescent="0.3">
      <c r="A84" t="s">
        <v>241</v>
      </c>
      <c r="B84">
        <v>6</v>
      </c>
      <c r="C84">
        <v>2025</v>
      </c>
      <c r="D84">
        <v>8</v>
      </c>
      <c r="E84" s="2">
        <v>0.67152777777777772</v>
      </c>
      <c r="F84" s="2">
        <f>AVERAGEIFS(Teams[finish],Teams[year],Teams[[#This Row],[year]],Teams[division],Teams[[#This Row],[division]],Teams[college],"&lt;&gt;Div *")</f>
        <v>0.57067901234567897</v>
      </c>
      <c r="G84" s="8" cm="1">
        <f t="array" ref="G84">MOD(Teams[[#This Row],[winners]]-_xlfn.XLOOKUP(1,(Table1[year]=Teams[[#This Row],[year]])*(Table1[division]=Teams[[#This Row],[division]]),Table1[drop]),1)*1440</f>
        <v>699.77777777777771</v>
      </c>
      <c r="H84" s="8">
        <f>(_xlfn.XLOOKUP(Teams[[#This Row],[year]],Table1[year],Table1[cutoff])-Teams[[#This Row],[finish]])*1440</f>
        <v>53.000000000000128</v>
      </c>
      <c r="I84" s="6" cm="1">
        <f t="array" ref="I84">(Teams[[#This Row],[remaining]]+60)*Teams[[#This Row],[winners alt]]/_xlfn.XLOOKUP(1,(Table1[year]=Teams[[#This Row],[year]])*(Table1[division]=Teams[[#This Row],[division]]),Table1[available]) +50</f>
        <v>138.05666914130177</v>
      </c>
    </row>
    <row r="85" spans="1:9" x14ac:dyDescent="0.3">
      <c r="A85" t="s">
        <v>10</v>
      </c>
      <c r="B85">
        <v>6</v>
      </c>
      <c r="C85">
        <v>2023</v>
      </c>
      <c r="D85">
        <v>4</v>
      </c>
      <c r="E85" s="1">
        <v>0.65833333333333333</v>
      </c>
      <c r="F85" s="1">
        <f>AVERAGEIFS(Teams[finish],Teams[year],Teams[[#This Row],[year]],Teams[division],Teams[[#This Row],[division]],Teams[college],"&lt;&gt;Div *")</f>
        <v>0.63140432098765431</v>
      </c>
      <c r="G85" s="7" cm="1">
        <f t="array" ref="G85">MOD(Teams[[#This Row],[winners]]-_xlfn.XLOOKUP(1,(Table1[year]=Teams[[#This Row],[year]])*(Table1[division]=Teams[[#This Row],[division]]),Table1[drop]),1)*1440</f>
        <v>849.22222222222229</v>
      </c>
      <c r="H85" s="7">
        <f>(_xlfn.XLOOKUP(Teams[[#This Row],[year]],Table1[year],Table1[cutoff])-Teams[[#This Row],[finish]])*1440</f>
        <v>42.000000000000014</v>
      </c>
      <c r="I85" s="6" cm="1">
        <f t="array" ref="I85">(Teams[[#This Row],[remaining]]+60)*Teams[[#This Row],[winners alt]]/_xlfn.XLOOKUP(1,(Table1[year]=Teams[[#This Row],[year]])*(Table1[division]=Teams[[#This Row],[division]]),Table1[available]) +50</f>
        <v>143.14050179211472</v>
      </c>
    </row>
    <row r="86" spans="1:9" x14ac:dyDescent="0.3">
      <c r="A86" t="s">
        <v>241</v>
      </c>
      <c r="B86">
        <v>6</v>
      </c>
      <c r="C86">
        <v>2023</v>
      </c>
      <c r="D86">
        <v>4</v>
      </c>
      <c r="E86" s="1">
        <v>0.65833333333333333</v>
      </c>
      <c r="F86" s="1">
        <f>AVERAGEIFS(Teams[finish],Teams[year],Teams[[#This Row],[year]],Teams[division],Teams[[#This Row],[division]],Teams[college],"&lt;&gt;Div *")</f>
        <v>0.63140432098765431</v>
      </c>
      <c r="G86" s="7" cm="1">
        <f t="array" ref="G86">MOD(Teams[[#This Row],[winners]]-_xlfn.XLOOKUP(1,(Table1[year]=Teams[[#This Row],[year]])*(Table1[division]=Teams[[#This Row],[division]]),Table1[drop]),1)*1440</f>
        <v>849.22222222222229</v>
      </c>
      <c r="H86" s="7">
        <f>(_xlfn.XLOOKUP(Teams[[#This Row],[year]],Table1[year],Table1[cutoff])-Teams[[#This Row],[finish]])*1440</f>
        <v>42.000000000000014</v>
      </c>
      <c r="I86" s="6" cm="1">
        <f t="array" ref="I86">(Teams[[#This Row],[remaining]]+60)*Teams[[#This Row],[winners alt]]/_xlfn.XLOOKUP(1,(Table1[year]=Teams[[#This Row],[year]])*(Table1[division]=Teams[[#This Row],[division]]),Table1[available]) +50</f>
        <v>143.14050179211472</v>
      </c>
    </row>
    <row r="87" spans="1:9" x14ac:dyDescent="0.3">
      <c r="A87" t="s">
        <v>266</v>
      </c>
      <c r="B87">
        <v>5</v>
      </c>
      <c r="C87">
        <v>2022</v>
      </c>
      <c r="D87">
        <v>8</v>
      </c>
      <c r="E87" s="1">
        <v>0.6381944444444444</v>
      </c>
      <c r="F87" s="1">
        <f>AVERAGEIFS(Teams[finish],Teams[year],Teams[[#This Row],[year]],Teams[division],Teams[[#This Row],[division]],Teams[college],"&lt;&gt;Div *")</f>
        <v>0.54583333333333328</v>
      </c>
      <c r="G87" s="7" cm="1">
        <f t="array" ref="G87">MOD(Teams[[#This Row],[winners]]-_xlfn.XLOOKUP(1,(Table1[year]=Teams[[#This Row],[year]])*(Table1[division]=Teams[[#This Row],[division]]),Table1[drop]),1)*1440</f>
        <v>546</v>
      </c>
      <c r="H87" s="7">
        <f>(_xlfn.XLOOKUP(Teams[[#This Row],[year]],Table1[year],Table1[cutoff])-Teams[[#This Row],[finish]])*1440</f>
        <v>71.000000000000071</v>
      </c>
      <c r="I87" s="6" cm="1">
        <f t="array" ref="I87">(Teams[[#This Row],[remaining]]+60)*Teams[[#This Row],[winners alt]]/_xlfn.XLOOKUP(1,(Table1[year]=Teams[[#This Row],[year]])*(Table1[division]=Teams[[#This Row],[division]]),Table1[available]) +50</f>
        <v>145.36800000000005</v>
      </c>
    </row>
    <row r="88" spans="1:9" x14ac:dyDescent="0.3">
      <c r="A88" t="s">
        <v>137</v>
      </c>
      <c r="B88">
        <v>3</v>
      </c>
      <c r="C88">
        <v>2023</v>
      </c>
      <c r="D88">
        <v>4</v>
      </c>
      <c r="E88" s="1">
        <v>0.65208333333333335</v>
      </c>
      <c r="F88" s="1">
        <f>AVERAGEIFS(Teams[finish],Teams[year],Teams[[#This Row],[year]],Teams[division],Teams[[#This Row],[division]],Teams[college],"&lt;&gt;Div *")</f>
        <v>0.59184027777777781</v>
      </c>
      <c r="G88" s="7" cm="1">
        <f t="array" ref="G88">MOD(Teams[[#This Row],[winners]]-_xlfn.XLOOKUP(1,(Table1[year]=Teams[[#This Row],[year]])*(Table1[division]=Teams[[#This Row],[division]]),Table1[drop]),1)*1440</f>
        <v>1032.25</v>
      </c>
      <c r="H88" s="7">
        <f>(_xlfn.XLOOKUP(Teams[[#This Row],[year]],Table1[year],Table1[cutoff])-Teams[[#This Row],[finish]])*1440</f>
        <v>50.999999999999979</v>
      </c>
      <c r="I88" s="6" cm="1">
        <f t="array" ref="I88">(Teams[[#This Row],[remaining]]+60)*Teams[[#This Row],[winners alt]]/_xlfn.XLOOKUP(1,(Table1[year]=Teams[[#This Row],[year]])*(Table1[division]=Teams[[#This Row],[division]]),Table1[available]) +50</f>
        <v>147.93141025641023</v>
      </c>
    </row>
    <row r="89" spans="1:9" x14ac:dyDescent="0.3">
      <c r="A89" t="s">
        <v>132</v>
      </c>
      <c r="B89">
        <v>5</v>
      </c>
      <c r="C89">
        <v>2022</v>
      </c>
      <c r="D89">
        <v>7</v>
      </c>
      <c r="E89" s="1">
        <v>0.63541666666666663</v>
      </c>
      <c r="F89" s="1">
        <f>AVERAGEIFS(Teams[finish],Teams[year],Teams[[#This Row],[year]],Teams[division],Teams[[#This Row],[division]],Teams[college],"&lt;&gt;Div *")</f>
        <v>0.54583333333333328</v>
      </c>
      <c r="G89" s="7" cm="1">
        <f t="array" ref="G89">MOD(Teams[[#This Row],[winners]]-_xlfn.XLOOKUP(1,(Table1[year]=Teams[[#This Row],[year]])*(Table1[division]=Teams[[#This Row],[division]]),Table1[drop]),1)*1440</f>
        <v>546</v>
      </c>
      <c r="H89" s="7">
        <f>(_xlfn.XLOOKUP(Teams[[#This Row],[year]],Table1[year],Table1[cutoff])-Teams[[#This Row],[finish]])*1440</f>
        <v>75.000000000000057</v>
      </c>
      <c r="I89" s="6" cm="1">
        <f t="array" ref="I89">(Teams[[#This Row],[remaining]]+60)*Teams[[#This Row],[winners alt]]/_xlfn.XLOOKUP(1,(Table1[year]=Teams[[#This Row],[year]])*(Table1[division]=Teams[[#This Row],[division]]),Table1[available]) +50</f>
        <v>148.28000000000003</v>
      </c>
    </row>
    <row r="90" spans="1:9" x14ac:dyDescent="0.3">
      <c r="A90" t="s">
        <v>250</v>
      </c>
      <c r="B90">
        <v>1</v>
      </c>
      <c r="C90">
        <v>2023</v>
      </c>
      <c r="D90">
        <v>2</v>
      </c>
      <c r="E90" s="1">
        <v>0.65416666666666667</v>
      </c>
      <c r="F90" s="1">
        <f>AVERAGEIFS(Teams[finish],Teams[year],Teams[[#This Row],[year]],Teams[division],Teams[[#This Row],[division]],Teams[college],"&lt;&gt;Div *")</f>
        <v>0.61898148148148158</v>
      </c>
      <c r="G90" s="7" cm="1">
        <f t="array" ref="G90">MOD(Teams[[#This Row],[winners]]-_xlfn.XLOOKUP(1,(Table1[year]=Teams[[#This Row],[year]])*(Table1[division]=Teams[[#This Row],[division]]),Table1[drop]),1)*1440</f>
        <v>1176.3333333333335</v>
      </c>
      <c r="H90" s="7">
        <f>(_xlfn.XLOOKUP(Teams[[#This Row],[year]],Table1[year],Table1[cutoff])-Teams[[#This Row],[finish]])*1440</f>
        <v>47.999999999999986</v>
      </c>
      <c r="I90" s="6" cm="1">
        <f t="array" ref="I90">(Teams[[#This Row],[remaining]]+60)*Teams[[#This Row],[winners alt]]/_xlfn.XLOOKUP(1,(Table1[year]=Teams[[#This Row],[year]])*(Table1[division]=Teams[[#This Row],[division]]),Table1[available]) +50</f>
        <v>149.64235294117645</v>
      </c>
    </row>
    <row r="91" spans="1:9" x14ac:dyDescent="0.3">
      <c r="A91" t="s">
        <v>250</v>
      </c>
      <c r="B91">
        <v>5</v>
      </c>
      <c r="C91">
        <v>2023</v>
      </c>
      <c r="D91">
        <v>5</v>
      </c>
      <c r="E91" s="1">
        <v>0.65277777777777779</v>
      </c>
      <c r="F91" s="1">
        <f>AVERAGEIFS(Teams[finish],Teams[year],Teams[[#This Row],[year]],Teams[division],Teams[[#This Row],[division]],Teams[college],"&lt;&gt;Div *")</f>
        <v>0.62942708333333341</v>
      </c>
      <c r="G91" s="7" cm="1">
        <f t="array" ref="G91">MOD(Teams[[#This Row],[winners]]-_xlfn.XLOOKUP(1,(Table1[year]=Teams[[#This Row],[year]])*(Table1[division]=Teams[[#This Row],[division]]),Table1[drop]),1)*1440</f>
        <v>876.37500000000011</v>
      </c>
      <c r="H91" s="7">
        <f>(_xlfn.XLOOKUP(Teams[[#This Row],[year]],Table1[year],Table1[cutoff])-Teams[[#This Row],[finish]])*1440</f>
        <v>49.999999999999986</v>
      </c>
      <c r="I91" s="6" cm="1">
        <f t="array" ref="I91">(Teams[[#This Row],[remaining]]+60)*Teams[[#This Row],[winners alt]]/_xlfn.XLOOKUP(1,(Table1[year]=Teams[[#This Row],[year]])*(Table1[division]=Teams[[#This Row],[division]]),Table1[available]) +50</f>
        <v>150.41796875</v>
      </c>
    </row>
    <row r="92" spans="1:9" x14ac:dyDescent="0.3">
      <c r="A92" t="s">
        <v>10</v>
      </c>
      <c r="B92">
        <v>4</v>
      </c>
      <c r="C92">
        <v>2024</v>
      </c>
      <c r="D92">
        <v>6</v>
      </c>
      <c r="E92" s="2">
        <v>0.67291666666666672</v>
      </c>
      <c r="F92" s="2">
        <f>AVERAGEIFS(Teams[finish],Teams[year],Teams[[#This Row],[year]],Teams[division],Teams[[#This Row],[division]],Teams[college],"&lt;&gt;Div *")</f>
        <v>0.65188492063492054</v>
      </c>
      <c r="G92" s="8" cm="1">
        <f t="array" ref="G92">MOD(Teams[[#This Row],[winners]]-_xlfn.XLOOKUP(1,(Table1[year]=Teams[[#This Row],[year]])*(Table1[division]=Teams[[#This Row],[division]]),Table1[drop]),1)*1440</f>
        <v>777.71428571428555</v>
      </c>
      <c r="H92" s="8">
        <f>(_xlfn.XLOOKUP(Teams[[#This Row],[year]],Table1[year],Table1[cutoff])-Teams[[#This Row],[finish]])*1440</f>
        <v>50.999999999999979</v>
      </c>
      <c r="I92" s="6" cm="1">
        <f t="array" ref="I92">(Teams[[#This Row],[remaining]]+60)*Teams[[#This Row],[winners alt]]/_xlfn.XLOOKUP(1,(Table1[year]=Teams[[#This Row],[year]])*(Table1[division]=Teams[[#This Row],[division]]),Table1[available]) +50</f>
        <v>150.49625810743385</v>
      </c>
    </row>
    <row r="93" spans="1:9" x14ac:dyDescent="0.3">
      <c r="A93" t="s">
        <v>241</v>
      </c>
      <c r="B93">
        <v>5</v>
      </c>
      <c r="C93">
        <v>2025</v>
      </c>
      <c r="D93">
        <v>11</v>
      </c>
      <c r="E93" s="2">
        <v>0.65</v>
      </c>
      <c r="F93" s="2">
        <f>AVERAGEIFS(Teams[finish],Teams[year],Teams[[#This Row],[year]],Teams[division],Teams[[#This Row],[division]],Teams[college],"&lt;&gt;Div *")</f>
        <v>0.51717171717171717</v>
      </c>
      <c r="G93" s="8" cm="1">
        <f t="array" ref="G93">MOD(Teams[[#This Row],[winners]]-_xlfn.XLOOKUP(1,(Table1[year]=Teams[[#This Row],[year]])*(Table1[division]=Teams[[#This Row],[division]]),Table1[drop]),1)*1440</f>
        <v>741.72727272727275</v>
      </c>
      <c r="H93" s="8">
        <f>(_xlfn.XLOOKUP(Teams[[#This Row],[year]],Table1[year],Table1[cutoff])-Teams[[#This Row],[finish]])*1440</f>
        <v>84.000000000000028</v>
      </c>
      <c r="I93" s="6" cm="1">
        <f t="array" ref="I93">(Teams[[#This Row],[remaining]]+60)*Teams[[#This Row],[winners alt]]/_xlfn.XLOOKUP(1,(Table1[year]=Teams[[#This Row],[year]])*(Table1[division]=Teams[[#This Row],[division]]),Table1[available]) +50</f>
        <v>155.02333065164925</v>
      </c>
    </row>
    <row r="94" spans="1:9" x14ac:dyDescent="0.3">
      <c r="A94" t="s">
        <v>5</v>
      </c>
      <c r="B94">
        <v>7</v>
      </c>
      <c r="C94">
        <v>2024</v>
      </c>
      <c r="D94">
        <v>4</v>
      </c>
      <c r="E94" s="2">
        <v>0.66597222222222219</v>
      </c>
      <c r="F94" s="2">
        <f>AVERAGEIFS(Teams[finish],Teams[year],Teams[[#This Row],[year]],Teams[division],Teams[[#This Row],[division]],Teams[college],"&lt;&gt;Div *")</f>
        <v>0.65364583333333337</v>
      </c>
      <c r="G94" s="8" cm="1">
        <f t="array" ref="G94">MOD(Teams[[#This Row],[winners]]-_xlfn.XLOOKUP(1,(Table1[year]=Teams[[#This Row],[year]])*(Table1[division]=Teams[[#This Row],[division]]),Table1[drop]),1)*1440</f>
        <v>661.25000000000011</v>
      </c>
      <c r="H94" s="8">
        <f>(_xlfn.XLOOKUP(Teams[[#This Row],[year]],Table1[year],Table1[cutoff])-Teams[[#This Row],[finish]])*1440</f>
        <v>61.000000000000099</v>
      </c>
      <c r="I94" s="6" cm="1">
        <f t="array" ref="I94">(Teams[[#This Row],[remaining]]+60)*Teams[[#This Row],[winners alt]]/_xlfn.XLOOKUP(1,(Table1[year]=Teams[[#This Row],[year]])*(Table1[division]=Teams[[#This Row],[division]]),Table1[available]) +50</f>
        <v>158.12331081081089</v>
      </c>
    </row>
    <row r="95" spans="1:9" x14ac:dyDescent="0.3">
      <c r="A95" t="s">
        <v>123</v>
      </c>
      <c r="B95">
        <v>6</v>
      </c>
      <c r="C95">
        <v>2025</v>
      </c>
      <c r="D95">
        <v>2</v>
      </c>
      <c r="E95" s="2">
        <v>0.51111111111111107</v>
      </c>
      <c r="F95" s="2">
        <f>AVERAGEIFS(Teams[finish],Teams[year],Teams[[#This Row],[year]],Teams[division],Teams[[#This Row],[division]],Teams[college],"&lt;&gt;Div *")</f>
        <v>0.57067901234567897</v>
      </c>
      <c r="G95" s="8" cm="1">
        <f t="array" ref="G95">MOD(Teams[[#This Row],[winners]]-_xlfn.XLOOKUP(1,(Table1[year]=Teams[[#This Row],[year]])*(Table1[division]=Teams[[#This Row],[division]]),Table1[drop]),1)*1440</f>
        <v>699.77777777777771</v>
      </c>
      <c r="H95" s="8">
        <f>(_xlfn.XLOOKUP(Teams[[#This Row],[year]],Table1[year],Table1[cutoff])-Teams[[#This Row],[finish]])*1440</f>
        <v>284.00000000000011</v>
      </c>
      <c r="I95" s="6" cm="1">
        <f t="array" ref="I95">(Teams[[#This Row],[remaining]]+60)*Teams[[#This Row],[winners alt]]/_xlfn.XLOOKUP(1,(Table1[year]=Teams[[#This Row],[year]])*(Table1[division]=Teams[[#This Row],[division]]),Table1[available]) +50</f>
        <v>318.06632021776795</v>
      </c>
    </row>
    <row r="96" spans="1:9" x14ac:dyDescent="0.3">
      <c r="A96" t="s">
        <v>123</v>
      </c>
      <c r="B96">
        <v>4</v>
      </c>
      <c r="C96">
        <v>2022</v>
      </c>
      <c r="D96">
        <v>2</v>
      </c>
      <c r="E96" s="1">
        <v>0.4465277777777778</v>
      </c>
      <c r="F96" s="1">
        <f>AVERAGEIFS(Teams[finish],Teams[year],Teams[[#This Row],[year]],Teams[division],Teams[[#This Row],[division]],Teams[college],"&lt;&gt;Div *")</f>
        <v>0.4699652777777778</v>
      </c>
      <c r="G96" s="7" cm="1">
        <f t="array" ref="G96">MOD(Teams[[#This Row],[winners]]-_xlfn.XLOOKUP(1,(Table1[year]=Teams[[#This Row],[year]])*(Table1[division]=Teams[[#This Row],[division]]),Table1[drop]),1)*1440</f>
        <v>586.75</v>
      </c>
      <c r="H96" s="7">
        <f>(_xlfn.XLOOKUP(Teams[[#This Row],[year]],Table1[year],Table1[cutoff])-Teams[[#This Row],[finish]])*1440</f>
        <v>346.99999999999994</v>
      </c>
      <c r="I96" s="6" cm="1">
        <f t="array" ref="I96">(Teams[[#This Row],[remaining]]+60)*Teams[[#This Row],[winners alt]]/_xlfn.XLOOKUP(1,(Table1[year]=Teams[[#This Row],[year]])*(Table1[division]=Teams[[#This Row],[division]]),Table1[available]) +50</f>
        <v>315.34138888888884</v>
      </c>
    </row>
    <row r="97" spans="1:9" x14ac:dyDescent="0.3">
      <c r="A97" t="s">
        <v>266</v>
      </c>
      <c r="B97">
        <v>5</v>
      </c>
      <c r="C97">
        <v>2024</v>
      </c>
      <c r="D97">
        <v>9</v>
      </c>
      <c r="E97" s="2">
        <v>0.65902777777777777</v>
      </c>
      <c r="F97" s="2">
        <f>AVERAGEIFS(Teams[finish],Teams[year],Teams[[#This Row],[year]],Teams[division],Teams[[#This Row],[division]],Teams[college],"&lt;&gt;Div *")</f>
        <v>0.61149691358024683</v>
      </c>
      <c r="G97" s="8" cm="1">
        <f t="array" ref="G97">MOD(Teams[[#This Row],[winners]]-_xlfn.XLOOKUP(1,(Table1[year]=Teams[[#This Row],[year]])*(Table1[division]=Teams[[#This Row],[division]]),Table1[drop]),1)*1440</f>
        <v>691.55555555555543</v>
      </c>
      <c r="H97" s="8">
        <f>(_xlfn.XLOOKUP(Teams[[#This Row],[year]],Table1[year],Table1[cutoff])-Teams[[#This Row],[finish]])*1440</f>
        <v>71.000000000000071</v>
      </c>
      <c r="I97" s="6" cm="1">
        <f t="array" ref="I97">(Teams[[#This Row],[remaining]]+60)*Teams[[#This Row],[winners alt]]/_xlfn.XLOOKUP(1,(Table1[year]=Teams[[#This Row],[year]])*(Table1[division]=Teams[[#This Row],[division]]),Table1[available]) +50</f>
        <v>159.01778312608639</v>
      </c>
    </row>
    <row r="98" spans="1:9" x14ac:dyDescent="0.3">
      <c r="A98" t="s">
        <v>5</v>
      </c>
      <c r="B98">
        <v>5</v>
      </c>
      <c r="C98">
        <v>2022</v>
      </c>
      <c r="D98">
        <v>6</v>
      </c>
      <c r="E98" s="1">
        <v>0.62152777777777779</v>
      </c>
      <c r="F98" s="1">
        <f>AVERAGEIFS(Teams[finish],Teams[year],Teams[[#This Row],[year]],Teams[division],Teams[[#This Row],[division]],Teams[college],"&lt;&gt;Div *")</f>
        <v>0.54583333333333328</v>
      </c>
      <c r="G98" s="7" cm="1">
        <f t="array" ref="G98">MOD(Teams[[#This Row],[winners]]-_xlfn.XLOOKUP(1,(Table1[year]=Teams[[#This Row],[year]])*(Table1[division]=Teams[[#This Row],[division]]),Table1[drop]),1)*1440</f>
        <v>546</v>
      </c>
      <c r="H98" s="7">
        <f>(_xlfn.XLOOKUP(Teams[[#This Row],[year]],Table1[year],Table1[cutoff])-Teams[[#This Row],[finish]])*1440</f>
        <v>94.999999999999986</v>
      </c>
      <c r="I98" s="6" cm="1">
        <f t="array" ref="I98">(Teams[[#This Row],[remaining]]+60)*Teams[[#This Row],[winners alt]]/_xlfn.XLOOKUP(1,(Table1[year]=Teams[[#This Row],[year]])*(Table1[division]=Teams[[#This Row],[division]]),Table1[available]) +50</f>
        <v>162.84</v>
      </c>
    </row>
    <row r="99" spans="1:9" x14ac:dyDescent="0.3">
      <c r="A99" t="s">
        <v>137</v>
      </c>
      <c r="B99">
        <v>2</v>
      </c>
      <c r="C99">
        <v>2025</v>
      </c>
      <c r="D99">
        <v>6</v>
      </c>
      <c r="E99" s="2">
        <v>0.65555555555555556</v>
      </c>
      <c r="F99" s="2">
        <f>AVERAGEIFS(Teams[finish],Teams[year],Teams[[#This Row],[year]],Teams[division],Teams[[#This Row],[division]],Teams[college],"&lt;&gt;Div *")</f>
        <v>0.56967592592592586</v>
      </c>
      <c r="G99" s="8" cm="1">
        <f t="array" ref="G99">MOD(Teams[[#This Row],[winners]]-_xlfn.XLOOKUP(1,(Table1[year]=Teams[[#This Row],[year]])*(Table1[division]=Teams[[#This Row],[division]]),Table1[drop]),1)*1440</f>
        <v>1064.3333333333333</v>
      </c>
      <c r="H99" s="8">
        <f>(_xlfn.XLOOKUP(Teams[[#This Row],[year]],Table1[year],Table1[cutoff])-Teams[[#This Row],[finish]])*1440</f>
        <v>76.000000000000057</v>
      </c>
      <c r="I99" s="6" cm="1">
        <f t="array" ref="I99">(Teams[[#This Row],[remaining]]+60)*Teams[[#This Row],[winners alt]]/_xlfn.XLOOKUP(1,(Table1[year]=Teams[[#This Row],[year]])*(Table1[division]=Teams[[#This Row],[division]]),Table1[available]) +50</f>
        <v>164.51687763713085</v>
      </c>
    </row>
    <row r="100" spans="1:9" x14ac:dyDescent="0.3">
      <c r="A100" t="s">
        <v>123</v>
      </c>
      <c r="B100">
        <v>3</v>
      </c>
      <c r="C100">
        <v>2023</v>
      </c>
      <c r="D100">
        <v>1</v>
      </c>
      <c r="E100" s="1">
        <v>0.52777777777777779</v>
      </c>
      <c r="F100" s="1">
        <f>AVERAGEIFS(Teams[finish],Teams[year],Teams[[#This Row],[year]],Teams[division],Teams[[#This Row],[division]],Teams[college],"&lt;&gt;Div *")</f>
        <v>0.59184027777777781</v>
      </c>
      <c r="G100" s="7" cm="1">
        <f t="array" ref="G100">MOD(Teams[[#This Row],[winners]]-_xlfn.XLOOKUP(1,(Table1[year]=Teams[[#This Row],[year]])*(Table1[division]=Teams[[#This Row],[division]]),Table1[drop]),1)*1440</f>
        <v>1032.25</v>
      </c>
      <c r="H100" s="7">
        <f>(_xlfn.XLOOKUP(Teams[[#This Row],[year]],Table1[year],Table1[cutoff])-Teams[[#This Row],[finish]])*1440</f>
        <v>229.99999999999997</v>
      </c>
      <c r="I100" s="6" cm="1">
        <f t="array" ref="I100">(Teams[[#This Row],[remaining]]+60)*Teams[[#This Row],[winners alt]]/_xlfn.XLOOKUP(1,(Table1[year]=Teams[[#This Row],[year]])*(Table1[division]=Teams[[#This Row],[division]]),Table1[available]) +50</f>
        <v>305.85683760683764</v>
      </c>
    </row>
    <row r="101" spans="1:9" x14ac:dyDescent="0.3">
      <c r="A101" t="s">
        <v>48</v>
      </c>
      <c r="B101">
        <v>3</v>
      </c>
      <c r="C101">
        <v>2024</v>
      </c>
      <c r="D101">
        <v>3</v>
      </c>
      <c r="E101" s="2">
        <v>0.66111111111111109</v>
      </c>
      <c r="F101" s="2">
        <f>AVERAGEIFS(Teams[finish],Teams[year],Teams[[#This Row],[year]],Teams[division],Teams[[#This Row],[division]],Teams[college],"&lt;&gt;Div *")</f>
        <v>0.63777777777777778</v>
      </c>
      <c r="G101" s="8" cm="1">
        <f t="array" ref="G101">MOD(Teams[[#This Row],[winners]]-_xlfn.XLOOKUP(1,(Table1[year]=Teams[[#This Row],[year]])*(Table1[division]=Teams[[#This Row],[division]]),Table1[drop]),1)*1440</f>
        <v>938.4</v>
      </c>
      <c r="H101" s="8">
        <f>(_xlfn.XLOOKUP(Teams[[#This Row],[year]],Table1[year],Table1[cutoff])-Teams[[#This Row],[finish]])*1440</f>
        <v>68.000000000000085</v>
      </c>
      <c r="I101" s="6" cm="1">
        <f t="array" ref="I101">(Teams[[#This Row],[remaining]]+60)*Teams[[#This Row],[winners alt]]/_xlfn.XLOOKUP(1,(Table1[year]=Teams[[#This Row],[year]])*(Table1[division]=Teams[[#This Row],[division]]),Table1[available]) +50</f>
        <v>165.49538461538469</v>
      </c>
    </row>
    <row r="102" spans="1:9" x14ac:dyDescent="0.3">
      <c r="A102" t="s">
        <v>15</v>
      </c>
      <c r="B102">
        <v>4</v>
      </c>
      <c r="C102">
        <v>2023</v>
      </c>
      <c r="D102">
        <v>5</v>
      </c>
      <c r="E102" s="1">
        <v>0.63680555555555551</v>
      </c>
      <c r="F102" s="1">
        <f>AVERAGEIFS(Teams[finish],Teams[year],Teams[[#This Row],[year]],Teams[division],Teams[[#This Row],[division]],Teams[college],"&lt;&gt;Div *")</f>
        <v>0.59335317460317449</v>
      </c>
      <c r="G102" s="7" cm="1">
        <f t="array" ref="G102">MOD(Teams[[#This Row],[winners]]-_xlfn.XLOOKUP(1,(Table1[year]=Teams[[#This Row],[year]])*(Table1[division]=Teams[[#This Row],[division]]),Table1[drop]),1)*1440</f>
        <v>944.42857142857122</v>
      </c>
      <c r="H102" s="7">
        <f>(_xlfn.XLOOKUP(Teams[[#This Row],[year]],Table1[year],Table1[cutoff])-Teams[[#This Row],[finish]])*1440</f>
        <v>73.000000000000057</v>
      </c>
      <c r="I102" s="6" cm="1">
        <f t="array" ref="I102">(Teams[[#This Row],[remaining]]+60)*Teams[[#This Row],[winners alt]]/_xlfn.XLOOKUP(1,(Table1[year]=Teams[[#This Row],[year]])*(Table1[division]=Teams[[#This Row],[division]]),Table1[available]) +50</f>
        <v>166.30462962962966</v>
      </c>
    </row>
    <row r="103" spans="1:9" x14ac:dyDescent="0.3">
      <c r="A103" t="s">
        <v>123</v>
      </c>
      <c r="B103">
        <v>5</v>
      </c>
      <c r="C103">
        <v>2024</v>
      </c>
      <c r="D103">
        <v>1</v>
      </c>
      <c r="E103" s="2">
        <v>0.53888888888888886</v>
      </c>
      <c r="F103" s="2">
        <f>AVERAGEIFS(Teams[finish],Teams[year],Teams[[#This Row],[year]],Teams[division],Teams[[#This Row],[division]],Teams[college],"&lt;&gt;Div *")</f>
        <v>0.61149691358024683</v>
      </c>
      <c r="G103" s="8" cm="1">
        <f t="array" ref="G103">MOD(Teams[[#This Row],[winners]]-_xlfn.XLOOKUP(1,(Table1[year]=Teams[[#This Row],[year]])*(Table1[division]=Teams[[#This Row],[division]]),Table1[drop]),1)*1440</f>
        <v>691.55555555555543</v>
      </c>
      <c r="H103" s="8">
        <f>(_xlfn.XLOOKUP(Teams[[#This Row],[year]],Table1[year],Table1[cutoff])-Teams[[#This Row],[finish]])*1440</f>
        <v>244.00000000000009</v>
      </c>
      <c r="I103" s="6" cm="1">
        <f t="array" ref="I103">(Teams[[#This Row],[remaining]]+60)*Teams[[#This Row],[winners alt]]/_xlfn.XLOOKUP(1,(Table1[year]=Teams[[#This Row],[year]])*(Table1[division]=Teams[[#This Row],[division]]),Table1[available]) +50</f>
        <v>302.98783259794095</v>
      </c>
    </row>
    <row r="104" spans="1:9" x14ac:dyDescent="0.3">
      <c r="A104" t="s">
        <v>132</v>
      </c>
      <c r="B104">
        <v>1</v>
      </c>
      <c r="C104">
        <v>2025</v>
      </c>
      <c r="D104">
        <v>7</v>
      </c>
      <c r="E104" s="2">
        <v>0.65625</v>
      </c>
      <c r="F104" s="2">
        <f>AVERAGEIFS(Teams[finish],Teams[year],Teams[[#This Row],[year]],Teams[division],Teams[[#This Row],[division]],Teams[college],"&lt;&gt;Div *")</f>
        <v>0.58533950617283947</v>
      </c>
      <c r="G104" s="8" cm="1">
        <f t="array" ref="G104">MOD(Teams[[#This Row],[winners]]-_xlfn.XLOOKUP(1,(Table1[year]=Teams[[#This Row],[year]])*(Table1[division]=Teams[[#This Row],[division]]),Table1[drop]),1)*1440</f>
        <v>1129.8888888888887</v>
      </c>
      <c r="H104" s="8">
        <f>(_xlfn.XLOOKUP(Teams[[#This Row],[year]],Table1[year],Table1[cutoff])-Teams[[#This Row],[finish]])*1440</f>
        <v>75.000000000000057</v>
      </c>
      <c r="I104" s="6" cm="1">
        <f t="array" ref="I104">(Teams[[#This Row],[remaining]]+60)*Teams[[#This Row],[winners alt]]/_xlfn.XLOOKUP(1,(Table1[year]=Teams[[#This Row],[year]])*(Table1[division]=Teams[[#This Row],[division]]),Table1[available]) +50</f>
        <v>166.70619739862281</v>
      </c>
    </row>
    <row r="105" spans="1:9" x14ac:dyDescent="0.3">
      <c r="A105" t="s">
        <v>266</v>
      </c>
      <c r="B105">
        <v>5</v>
      </c>
      <c r="C105">
        <v>2025</v>
      </c>
      <c r="D105">
        <v>10</v>
      </c>
      <c r="E105" s="2">
        <v>0.63680555555555551</v>
      </c>
      <c r="F105" s="2">
        <f>AVERAGEIFS(Teams[finish],Teams[year],Teams[[#This Row],[year]],Teams[division],Teams[[#This Row],[division]],Teams[college],"&lt;&gt;Div *")</f>
        <v>0.51717171717171717</v>
      </c>
      <c r="G105" s="8" cm="1">
        <f t="array" ref="G105">MOD(Teams[[#This Row],[winners]]-_xlfn.XLOOKUP(1,(Table1[year]=Teams[[#This Row],[year]])*(Table1[division]=Teams[[#This Row],[division]]),Table1[drop]),1)*1440</f>
        <v>741.72727272727275</v>
      </c>
      <c r="H105" s="8">
        <f>(_xlfn.XLOOKUP(Teams[[#This Row],[year]],Table1[year],Table1[cutoff])-Teams[[#This Row],[finish]])*1440</f>
        <v>103.00000000000011</v>
      </c>
      <c r="I105" s="6" cm="1">
        <f t="array" ref="I105">(Teams[[#This Row],[remaining]]+60)*Teams[[#This Row],[winners alt]]/_xlfn.XLOOKUP(1,(Table1[year]=Teams[[#This Row],[year]])*(Table1[division]=Teams[[#This Row],[division]]),Table1[available]) +50</f>
        <v>168.88057566818637</v>
      </c>
    </row>
    <row r="106" spans="1:9" x14ac:dyDescent="0.3">
      <c r="A106" t="s">
        <v>19</v>
      </c>
      <c r="B106">
        <v>4</v>
      </c>
      <c r="C106">
        <v>2024</v>
      </c>
      <c r="D106">
        <v>5</v>
      </c>
      <c r="E106" s="2">
        <v>0.65833333333333333</v>
      </c>
      <c r="F106" s="2">
        <f>AVERAGEIFS(Teams[finish],Teams[year],Teams[[#This Row],[year]],Teams[division],Teams[[#This Row],[division]],Teams[college],"&lt;&gt;Div *")</f>
        <v>0.65188492063492054</v>
      </c>
      <c r="G106" s="8" cm="1">
        <f t="array" ref="G106">MOD(Teams[[#This Row],[winners]]-_xlfn.XLOOKUP(1,(Table1[year]=Teams[[#This Row],[year]])*(Table1[division]=Teams[[#This Row],[division]]),Table1[drop]),1)*1440</f>
        <v>777.71428571428555</v>
      </c>
      <c r="H106" s="8">
        <f>(_xlfn.XLOOKUP(Teams[[#This Row],[year]],Table1[year],Table1[cutoff])-Teams[[#This Row],[finish]])*1440</f>
        <v>72.000000000000057</v>
      </c>
      <c r="I106" s="6" cm="1">
        <f t="array" ref="I106">(Teams[[#This Row],[remaining]]+60)*Teams[[#This Row],[winners alt]]/_xlfn.XLOOKUP(1,(Table1[year]=Teams[[#This Row],[year]])*(Table1[division]=Teams[[#This Row],[division]]),Table1[available]) +50</f>
        <v>169.5090636953268</v>
      </c>
    </row>
    <row r="107" spans="1:9" x14ac:dyDescent="0.3">
      <c r="A107" t="s">
        <v>758</v>
      </c>
      <c r="B107">
        <v>5</v>
      </c>
      <c r="C107">
        <v>2025</v>
      </c>
      <c r="D107" t="s">
        <v>735</v>
      </c>
      <c r="E107" s="1">
        <v>0.63611111111111107</v>
      </c>
      <c r="F107" s="1">
        <f>AVERAGEIFS(Teams[finish],Teams[year],Teams[[#This Row],[year]],Teams[division],Teams[[#This Row],[division]],Teams[college],"&lt;&gt;Div *")</f>
        <v>0.51717171717171717</v>
      </c>
      <c r="G107" s="7" cm="1">
        <f t="array" ref="G107">MOD(Teams[[#This Row],[winners]]-_xlfn.XLOOKUP(1,(Table1[year]=Teams[[#This Row],[year]])*(Table1[division]=Teams[[#This Row],[division]]),Table1[drop]),1)*1440</f>
        <v>741.72727272727275</v>
      </c>
      <c r="H107" s="7">
        <f>(_xlfn.XLOOKUP(Teams[[#This Row],[year]],Table1[year],Table1[cutoff])-Teams[[#This Row],[finish]])*1440</f>
        <v>104.00000000000011</v>
      </c>
      <c r="I107" s="6" cm="1">
        <f t="array" ref="I107">(Teams[[#This Row],[remaining]]+60)*Teams[[#This Row],[winners alt]]/_xlfn.XLOOKUP(1,(Table1[year]=Teams[[#This Row],[year]])*(Table1[division]=Teams[[#This Row],[division]]),Table1[available]) +50</f>
        <v>169.60990435326727</v>
      </c>
    </row>
    <row r="108" spans="1:9" x14ac:dyDescent="0.3">
      <c r="A108" t="s">
        <v>266</v>
      </c>
      <c r="B108">
        <v>4</v>
      </c>
      <c r="C108">
        <v>2025</v>
      </c>
      <c r="D108">
        <v>7</v>
      </c>
      <c r="E108" s="2">
        <v>0.65347222222222223</v>
      </c>
      <c r="F108" s="2">
        <f>AVERAGEIFS(Teams[finish],Teams[year],Teams[[#This Row],[year]],Teams[division],Teams[[#This Row],[division]],Teams[college],"&lt;&gt;Div *")</f>
        <v>0.61206597222222225</v>
      </c>
      <c r="G108" s="8" cm="1">
        <f t="array" ref="G108">MOD(Teams[[#This Row],[winners]]-_xlfn.XLOOKUP(1,(Table1[year]=Teams[[#This Row],[year]])*(Table1[division]=Teams[[#This Row],[division]]),Table1[drop]),1)*1440</f>
        <v>933.375</v>
      </c>
      <c r="H108" s="8">
        <f>(_xlfn.XLOOKUP(Teams[[#This Row],[year]],Table1[year],Table1[cutoff])-Teams[[#This Row],[finish]])*1440</f>
        <v>79.000000000000043</v>
      </c>
      <c r="I108" s="6" cm="1">
        <f t="array" ref="I108">(Teams[[#This Row],[remaining]]+60)*Teams[[#This Row],[winners alt]]/_xlfn.XLOOKUP(1,(Table1[year]=Teams[[#This Row],[year]])*(Table1[division]=Teams[[#This Row],[division]]),Table1[available]) +50</f>
        <v>171.02530317164184</v>
      </c>
    </row>
    <row r="109" spans="1:9" x14ac:dyDescent="0.3">
      <c r="A109" t="s">
        <v>5</v>
      </c>
      <c r="B109">
        <v>7</v>
      </c>
      <c r="C109">
        <v>2022</v>
      </c>
      <c r="D109">
        <v>9</v>
      </c>
      <c r="E109" s="1">
        <v>0.56805555555555554</v>
      </c>
      <c r="F109" s="1">
        <f>AVERAGEIFS(Teams[finish],Teams[year],Teams[[#This Row],[year]],Teams[division],Teams[[#This Row],[division]],Teams[college],"&lt;&gt;Div *")</f>
        <v>0.47932098765432102</v>
      </c>
      <c r="G109" s="7" cm="1">
        <f t="array" ref="G109">MOD(Teams[[#This Row],[winners]]-_xlfn.XLOOKUP(1,(Table1[year]=Teams[[#This Row],[year]])*(Table1[division]=Teams[[#This Row],[division]]),Table1[drop]),1)*1440</f>
        <v>345.22222222222223</v>
      </c>
      <c r="H109" s="7">
        <f>(_xlfn.XLOOKUP(Teams[[#This Row],[year]],Table1[year],Table1[cutoff])-Teams[[#This Row],[finish]])*1440</f>
        <v>172.00000000000003</v>
      </c>
      <c r="I109" s="6" cm="1">
        <f t="array" ref="I109">(Teams[[#This Row],[remaining]]+60)*Teams[[#This Row],[winners alt]]/_xlfn.XLOOKUP(1,(Table1[year]=Teams[[#This Row],[year]])*(Table1[division]=Teams[[#This Row],[division]]),Table1[available]) +50</f>
        <v>174.17295434969856</v>
      </c>
    </row>
    <row r="110" spans="1:9" x14ac:dyDescent="0.3">
      <c r="A110" t="s">
        <v>132</v>
      </c>
      <c r="B110">
        <v>4</v>
      </c>
      <c r="C110">
        <v>2024</v>
      </c>
      <c r="D110">
        <v>4</v>
      </c>
      <c r="E110" s="2">
        <v>0.65277777777777779</v>
      </c>
      <c r="F110" s="2">
        <f>AVERAGEIFS(Teams[finish],Teams[year],Teams[[#This Row],[year]],Teams[division],Teams[[#This Row],[division]],Teams[college],"&lt;&gt;Div *")</f>
        <v>0.65188492063492054</v>
      </c>
      <c r="G110" s="8" cm="1">
        <f t="array" ref="G110">MOD(Teams[[#This Row],[winners]]-_xlfn.XLOOKUP(1,(Table1[year]=Teams[[#This Row],[year]])*(Table1[division]=Teams[[#This Row],[division]]),Table1[drop]),1)*1440</f>
        <v>777.71428571428555</v>
      </c>
      <c r="H110" s="8">
        <f>(_xlfn.XLOOKUP(Teams[[#This Row],[year]],Table1[year],Table1[cutoff])-Teams[[#This Row],[finish]])*1440</f>
        <v>80.000000000000028</v>
      </c>
      <c r="I110" s="6" cm="1">
        <f t="array" ref="I110">(Teams[[#This Row],[remaining]]+60)*Teams[[#This Row],[winners alt]]/_xlfn.XLOOKUP(1,(Table1[year]=Teams[[#This Row],[year]])*(Table1[division]=Teams[[#This Row],[division]]),Table1[available]) +50</f>
        <v>176.75203725261935</v>
      </c>
    </row>
    <row r="111" spans="1:9" x14ac:dyDescent="0.3">
      <c r="A111" t="s">
        <v>19</v>
      </c>
      <c r="B111">
        <v>5</v>
      </c>
      <c r="C111">
        <v>2024</v>
      </c>
      <c r="D111">
        <v>8</v>
      </c>
      <c r="E111" s="2">
        <v>0.64513888888888893</v>
      </c>
      <c r="F111" s="2">
        <f>AVERAGEIFS(Teams[finish],Teams[year],Teams[[#This Row],[year]],Teams[division],Teams[[#This Row],[division]],Teams[college],"&lt;&gt;Div *")</f>
        <v>0.61149691358024683</v>
      </c>
      <c r="G111" s="8" cm="1">
        <f t="array" ref="G111">MOD(Teams[[#This Row],[winners]]-_xlfn.XLOOKUP(1,(Table1[year]=Teams[[#This Row],[year]])*(Table1[division]=Teams[[#This Row],[division]]),Table1[drop]),1)*1440</f>
        <v>691.55555555555543</v>
      </c>
      <c r="H111" s="8">
        <f>(_xlfn.XLOOKUP(Teams[[#This Row],[year]],Table1[year],Table1[cutoff])-Teams[[#This Row],[finish]])*1440</f>
        <v>91</v>
      </c>
      <c r="I111" s="6" cm="1">
        <f t="array" ref="I111">(Teams[[#This Row],[remaining]]+60)*Teams[[#This Row],[winners alt]]/_xlfn.XLOOKUP(1,(Table1[year]=Teams[[#This Row],[year]])*(Table1[division]=Teams[[#This Row],[division]]),Table1[available]) +50</f>
        <v>175.66171948121405</v>
      </c>
    </row>
    <row r="112" spans="1:9" x14ac:dyDescent="0.3">
      <c r="A112" t="s">
        <v>755</v>
      </c>
      <c r="B112">
        <v>5</v>
      </c>
      <c r="C112">
        <v>2023</v>
      </c>
      <c r="D112" t="s">
        <v>735</v>
      </c>
      <c r="E112" s="1">
        <v>0.63124999999999998</v>
      </c>
      <c r="F112" s="1">
        <f>AVERAGEIFS(Teams[finish],Teams[year],Teams[[#This Row],[year]],Teams[division],Teams[[#This Row],[division]],Teams[college],"&lt;&gt;Div *")</f>
        <v>0.62942708333333341</v>
      </c>
      <c r="G112" s="7" cm="1">
        <f t="array" ref="G112">MOD(Teams[[#This Row],[winners]]-_xlfn.XLOOKUP(1,(Table1[year]=Teams[[#This Row],[year]])*(Table1[division]=Teams[[#This Row],[division]]),Table1[drop]),1)*1440</f>
        <v>876.37500000000011</v>
      </c>
      <c r="H112" s="7">
        <f>(_xlfn.XLOOKUP(Teams[[#This Row],[year]],Table1[year],Table1[cutoff])-Teams[[#This Row],[finish]])*1440</f>
        <v>81.000000000000028</v>
      </c>
      <c r="I112" s="6" cm="1">
        <f t="array" ref="I112">(Teams[[#This Row],[remaining]]+60)*Teams[[#This Row],[winners alt]]/_xlfn.XLOOKUP(1,(Table1[year]=Teams[[#This Row],[year]])*(Table1[division]=Teams[[#This Row],[division]]),Table1[available]) +50</f>
        <v>178.71757812500005</v>
      </c>
    </row>
    <row r="113" spans="1:9" x14ac:dyDescent="0.3">
      <c r="A113" t="s">
        <v>757</v>
      </c>
      <c r="B113">
        <v>6</v>
      </c>
      <c r="C113">
        <v>2025</v>
      </c>
      <c r="D113" t="s">
        <v>735</v>
      </c>
      <c r="E113" s="1">
        <v>0.64097222222222228</v>
      </c>
      <c r="F113" s="1">
        <f>AVERAGEIFS(Teams[finish],Teams[year],Teams[[#This Row],[year]],Teams[division],Teams[[#This Row],[division]],Teams[college],"&lt;&gt;Div *")</f>
        <v>0.57067901234567897</v>
      </c>
      <c r="G113" s="7" cm="1">
        <f t="array" ref="G113">MOD(Teams[[#This Row],[winners]]-_xlfn.XLOOKUP(1,(Table1[year]=Teams[[#This Row],[year]])*(Table1[division]=Teams[[#This Row],[division]]),Table1[drop]),1)*1440</f>
        <v>699.77777777777771</v>
      </c>
      <c r="H113" s="7">
        <f>(_xlfn.XLOOKUP(Teams[[#This Row],[year]],Table1[year],Table1[cutoff])-Teams[[#This Row],[finish]])*1440</f>
        <v>96.999999999999972</v>
      </c>
      <c r="I113" s="6" cm="1">
        <f t="array" ref="I113">(Teams[[#This Row],[remaining]]+60)*Teams[[#This Row],[winners alt]]/_xlfn.XLOOKUP(1,(Table1[year]=Teams[[#This Row],[year]])*(Table1[division]=Teams[[#This Row],[division]]),Table1[available]) +50</f>
        <v>172.34422172729518</v>
      </c>
    </row>
    <row r="114" spans="1:9" x14ac:dyDescent="0.3">
      <c r="A114" t="s">
        <v>758</v>
      </c>
      <c r="B114">
        <v>6</v>
      </c>
      <c r="C114">
        <v>2025</v>
      </c>
      <c r="D114" t="s">
        <v>735</v>
      </c>
      <c r="E114" s="1">
        <v>0.64097222222222228</v>
      </c>
      <c r="F114" s="1">
        <f>AVERAGEIFS(Teams[finish],Teams[year],Teams[[#This Row],[year]],Teams[division],Teams[[#This Row],[division]],Teams[college],"&lt;&gt;Div *")</f>
        <v>0.57067901234567897</v>
      </c>
      <c r="G114" s="7" cm="1">
        <f t="array" ref="G114">MOD(Teams[[#This Row],[winners]]-_xlfn.XLOOKUP(1,(Table1[year]=Teams[[#This Row],[year]])*(Table1[division]=Teams[[#This Row],[division]]),Table1[drop]),1)*1440</f>
        <v>699.77777777777771</v>
      </c>
      <c r="H114" s="7">
        <f>(_xlfn.XLOOKUP(Teams[[#This Row],[year]],Table1[year],Table1[cutoff])-Teams[[#This Row],[finish]])*1440</f>
        <v>96.999999999999972</v>
      </c>
      <c r="I114" s="6" cm="1">
        <f t="array" ref="I114">(Teams[[#This Row],[remaining]]+60)*Teams[[#This Row],[winners alt]]/_xlfn.XLOOKUP(1,(Table1[year]=Teams[[#This Row],[year]])*(Table1[division]=Teams[[#This Row],[division]]),Table1[available]) +50</f>
        <v>172.34422172729518</v>
      </c>
    </row>
    <row r="115" spans="1:9" x14ac:dyDescent="0.3">
      <c r="A115" t="s">
        <v>241</v>
      </c>
      <c r="B115">
        <v>7</v>
      </c>
      <c r="C115">
        <v>2025</v>
      </c>
      <c r="D115">
        <v>10</v>
      </c>
      <c r="E115" s="2">
        <v>0.61250000000000004</v>
      </c>
      <c r="F115" s="2">
        <f>AVERAGEIFS(Teams[finish],Teams[year],Teams[[#This Row],[year]],Teams[division],Teams[[#This Row],[division]],Teams[college],"&lt;&gt;Div *")</f>
        <v>0.53510101010101008</v>
      </c>
      <c r="G115" s="8" cm="1">
        <f t="array" ref="G115">MOD(Teams[[#This Row],[winners]]-_xlfn.XLOOKUP(1,(Table1[year]=Teams[[#This Row],[year]])*(Table1[division]=Teams[[#This Row],[division]]),Table1[drop]),1)*1440</f>
        <v>470.54545454545445</v>
      </c>
      <c r="H115" s="8">
        <f>(_xlfn.XLOOKUP(Teams[[#This Row],[year]],Table1[year],Table1[cutoff])-Teams[[#This Row],[finish]])*1440</f>
        <v>138</v>
      </c>
      <c r="I115" s="6" cm="1">
        <f t="array" ref="I115">(Teams[[#This Row],[remaining]]+60)*Teams[[#This Row],[winners alt]]/_xlfn.XLOOKUP(1,(Table1[year]=Teams[[#This Row],[year]])*(Table1[division]=Teams[[#This Row],[division]]),Table1[available]) +50</f>
        <v>179.39999999999998</v>
      </c>
    </row>
    <row r="116" spans="1:9" x14ac:dyDescent="0.3">
      <c r="A116" t="s">
        <v>123</v>
      </c>
      <c r="B116">
        <v>1</v>
      </c>
      <c r="C116">
        <v>2024</v>
      </c>
      <c r="D116">
        <v>4</v>
      </c>
      <c r="E116" s="2">
        <v>0.55277777777777781</v>
      </c>
      <c r="F116" s="2">
        <f>AVERAGEIFS(Teams[finish],Teams[year],Teams[[#This Row],[year]],Teams[division],Teams[[#This Row],[division]],Teams[college],"&lt;&gt;Div *")</f>
        <v>0.60277777777777775</v>
      </c>
      <c r="G116" s="8" cm="1">
        <f t="array" ref="G116">MOD(Teams[[#This Row],[winners]]-_xlfn.XLOOKUP(1,(Table1[year]=Teams[[#This Row],[year]])*(Table1[division]=Teams[[#This Row],[division]]),Table1[drop]),1)*1440</f>
        <v>1084</v>
      </c>
      <c r="H116" s="8">
        <f>(_xlfn.XLOOKUP(Teams[[#This Row],[year]],Table1[year],Table1[cutoff])-Teams[[#This Row],[finish]])*1440</f>
        <v>224</v>
      </c>
      <c r="I116" s="6" cm="1">
        <f t="array" ref="I116">(Teams[[#This Row],[remaining]]+60)*Teams[[#This Row],[winners alt]]/_xlfn.XLOOKUP(1,(Table1[year]=Teams[[#This Row],[year]])*(Table1[division]=Teams[[#This Row],[division]]),Table1[available]) +50</f>
        <v>299.07443365695792</v>
      </c>
    </row>
    <row r="117" spans="1:9" x14ac:dyDescent="0.3">
      <c r="A117" t="s">
        <v>48</v>
      </c>
      <c r="B117">
        <v>7</v>
      </c>
      <c r="C117">
        <v>2025</v>
      </c>
      <c r="D117">
        <v>9</v>
      </c>
      <c r="E117" s="2">
        <v>0.6118055555555556</v>
      </c>
      <c r="F117" s="2">
        <f>AVERAGEIFS(Teams[finish],Teams[year],Teams[[#This Row],[year]],Teams[division],Teams[[#This Row],[division]],Teams[college],"&lt;&gt;Div *")</f>
        <v>0.53510101010101008</v>
      </c>
      <c r="G117" s="8" cm="1">
        <f t="array" ref="G117">MOD(Teams[[#This Row],[winners]]-_xlfn.XLOOKUP(1,(Table1[year]=Teams[[#This Row],[year]])*(Table1[division]=Teams[[#This Row],[division]]),Table1[drop]),1)*1440</f>
        <v>470.54545454545445</v>
      </c>
      <c r="H117" s="8">
        <f>(_xlfn.XLOOKUP(Teams[[#This Row],[year]],Table1[year],Table1[cutoff])-Teams[[#This Row],[finish]])*1440</f>
        <v>139</v>
      </c>
      <c r="I117" s="6" cm="1">
        <f t="array" ref="I117">(Teams[[#This Row],[remaining]]+60)*Teams[[#This Row],[winners alt]]/_xlfn.XLOOKUP(1,(Table1[year]=Teams[[#This Row],[year]])*(Table1[division]=Teams[[#This Row],[division]]),Table1[available]) +50</f>
        <v>180.05353535353532</v>
      </c>
    </row>
    <row r="118" spans="1:9" x14ac:dyDescent="0.3">
      <c r="A118" t="s">
        <v>250</v>
      </c>
      <c r="B118">
        <v>3</v>
      </c>
      <c r="C118">
        <v>2025</v>
      </c>
      <c r="D118">
        <v>8</v>
      </c>
      <c r="E118" s="2">
        <v>0.64027777777777772</v>
      </c>
      <c r="F118" s="2">
        <f>AVERAGEIFS(Teams[finish],Teams[year],Teams[[#This Row],[year]],Teams[division],Teams[[#This Row],[division]],Teams[college],"&lt;&gt;Div *")</f>
        <v>0.56753472222222223</v>
      </c>
      <c r="G118" s="8" cm="1">
        <f t="array" ref="G118">MOD(Teams[[#This Row],[winners]]-_xlfn.XLOOKUP(1,(Table1[year]=Teams[[#This Row],[year]])*(Table1[division]=Teams[[#This Row],[division]]),Table1[drop]),1)*1440</f>
        <v>997.25</v>
      </c>
      <c r="H118" s="8">
        <f>(_xlfn.XLOOKUP(Teams[[#This Row],[year]],Table1[year],Table1[cutoff])-Teams[[#This Row],[finish]])*1440</f>
        <v>98.000000000000128</v>
      </c>
      <c r="I118" s="6" cm="1">
        <f t="array" ref="I118">(Teams[[#This Row],[remaining]]+60)*Teams[[#This Row],[winners alt]]/_xlfn.XLOOKUP(1,(Table1[year]=Teams[[#This Row],[year]])*(Table1[division]=Teams[[#This Row],[division]]),Table1[available]) +50</f>
        <v>181.30458333333343</v>
      </c>
    </row>
    <row r="119" spans="1:9" x14ac:dyDescent="0.3">
      <c r="A119" t="s">
        <v>19</v>
      </c>
      <c r="B119">
        <v>7</v>
      </c>
      <c r="C119">
        <v>2023</v>
      </c>
      <c r="D119">
        <v>9</v>
      </c>
      <c r="E119" s="2">
        <v>0.61458333333333337</v>
      </c>
      <c r="F119" s="2">
        <f>AVERAGEIFS(Teams[finish],Teams[year],Teams[[#This Row],[year]],Teams[division],Teams[[#This Row],[division]],Teams[college],"&lt;&gt;Div *")</f>
        <v>0.57826388888888891</v>
      </c>
      <c r="G119" s="8" cm="1">
        <f t="array" ref="G119">MOD(Teams[[#This Row],[winners]]-_xlfn.XLOOKUP(1,(Table1[year]=Teams[[#This Row],[year]])*(Table1[division]=Teams[[#This Row],[division]]),Table1[drop]),1)*1440</f>
        <v>620.69999999999993</v>
      </c>
      <c r="H119" s="8">
        <f>(_xlfn.XLOOKUP(Teams[[#This Row],[year]],Table1[year],Table1[cutoff])-Teams[[#This Row],[finish]])*1440</f>
        <v>104.99999999999994</v>
      </c>
      <c r="I119" s="6" cm="1">
        <f t="array" ref="I119">(Teams[[#This Row],[remaining]]+60)*Teams[[#This Row],[winners alt]]/_xlfn.XLOOKUP(1,(Table1[year]=Teams[[#This Row],[year]])*(Table1[division]=Teams[[#This Row],[division]]),Table1[available]) +50</f>
        <v>181.63946015424159</v>
      </c>
    </row>
    <row r="120" spans="1:9" x14ac:dyDescent="0.3">
      <c r="A120" t="s">
        <v>137</v>
      </c>
      <c r="B120">
        <v>4</v>
      </c>
      <c r="C120">
        <v>2024</v>
      </c>
      <c r="D120">
        <v>3</v>
      </c>
      <c r="E120" s="2">
        <v>0.64722222222222225</v>
      </c>
      <c r="F120" s="2">
        <f>AVERAGEIFS(Teams[finish],Teams[year],Teams[[#This Row],[year]],Teams[division],Teams[[#This Row],[division]],Teams[college],"&lt;&gt;Div *")</f>
        <v>0.65188492063492054</v>
      </c>
      <c r="G120" s="8" cm="1">
        <f t="array" ref="G120">MOD(Teams[[#This Row],[winners]]-_xlfn.XLOOKUP(1,(Table1[year]=Teams[[#This Row],[year]])*(Table1[division]=Teams[[#This Row],[division]]),Table1[drop]),1)*1440</f>
        <v>777.71428571428555</v>
      </c>
      <c r="H120" s="8">
        <f>(_xlfn.XLOOKUP(Teams[[#This Row],[year]],Table1[year],Table1[cutoff])-Teams[[#This Row],[finish]])*1440</f>
        <v>88</v>
      </c>
      <c r="I120" s="6" cm="1">
        <f t="array" ref="I120">(Teams[[#This Row],[remaining]]+60)*Teams[[#This Row],[winners alt]]/_xlfn.XLOOKUP(1,(Table1[year]=Teams[[#This Row],[year]])*(Table1[division]=Teams[[#This Row],[division]]),Table1[available]) +50</f>
        <v>183.99501080991183</v>
      </c>
    </row>
    <row r="121" spans="1:9" x14ac:dyDescent="0.3">
      <c r="A121" t="s">
        <v>19</v>
      </c>
      <c r="B121">
        <v>4</v>
      </c>
      <c r="C121">
        <v>2025</v>
      </c>
      <c r="D121">
        <v>6</v>
      </c>
      <c r="E121" s="2">
        <v>0.6430555555555556</v>
      </c>
      <c r="F121" s="2">
        <f>AVERAGEIFS(Teams[finish],Teams[year],Teams[[#This Row],[year]],Teams[division],Teams[[#This Row],[division]],Teams[college],"&lt;&gt;Div *")</f>
        <v>0.61206597222222225</v>
      </c>
      <c r="G121" s="8" cm="1">
        <f t="array" ref="G121">MOD(Teams[[#This Row],[winners]]-_xlfn.XLOOKUP(1,(Table1[year]=Teams[[#This Row],[year]])*(Table1[division]=Teams[[#This Row],[division]]),Table1[drop]),1)*1440</f>
        <v>933.375</v>
      </c>
      <c r="H121" s="8">
        <f>(_xlfn.XLOOKUP(Teams[[#This Row],[year]],Table1[year],Table1[cutoff])-Teams[[#This Row],[finish]])*1440</f>
        <v>93.999999999999986</v>
      </c>
      <c r="I121" s="6" cm="1">
        <f t="array" ref="I121">(Teams[[#This Row],[remaining]]+60)*Teams[[#This Row],[winners alt]]/_xlfn.XLOOKUP(1,(Table1[year]=Teams[[#This Row],[year]])*(Table1[division]=Teams[[#This Row],[division]]),Table1[available]) +50</f>
        <v>184.08558768656715</v>
      </c>
    </row>
    <row r="122" spans="1:9" x14ac:dyDescent="0.3">
      <c r="A122" t="s">
        <v>756</v>
      </c>
      <c r="B122">
        <v>6</v>
      </c>
      <c r="C122">
        <v>2025</v>
      </c>
      <c r="D122" t="s">
        <v>735</v>
      </c>
      <c r="E122" s="1">
        <v>0.63611111111111107</v>
      </c>
      <c r="F122" s="1">
        <f>AVERAGEIFS(Teams[finish],Teams[year],Teams[[#This Row],[year]],Teams[division],Teams[[#This Row],[division]],Teams[college],"&lt;&gt;Div *")</f>
        <v>0.57067901234567897</v>
      </c>
      <c r="G122" s="7" cm="1">
        <f t="array" ref="G122">MOD(Teams[[#This Row],[winners]]-_xlfn.XLOOKUP(1,(Table1[year]=Teams[[#This Row],[year]])*(Table1[division]=Teams[[#This Row],[division]]),Table1[drop]),1)*1440</f>
        <v>699.77777777777771</v>
      </c>
      <c r="H122" s="7">
        <f>(_xlfn.XLOOKUP(Teams[[#This Row],[year]],Table1[year],Table1[cutoff])-Teams[[#This Row],[finish]])*1440</f>
        <v>104.00000000000011</v>
      </c>
      <c r="I122" s="6" cm="1">
        <f t="array" ref="I122">(Teams[[#This Row],[remaining]]+60)*Teams[[#This Row],[winners alt]]/_xlfn.XLOOKUP(1,(Table1[year]=Teams[[#This Row],[year]])*(Table1[division]=Teams[[#This Row],[division]]),Table1[available]) +50</f>
        <v>177.79905963870337</v>
      </c>
    </row>
    <row r="123" spans="1:9" x14ac:dyDescent="0.3">
      <c r="A123" t="s">
        <v>137</v>
      </c>
      <c r="B123">
        <v>1</v>
      </c>
      <c r="C123">
        <v>2022</v>
      </c>
      <c r="D123">
        <v>4</v>
      </c>
      <c r="E123" s="1">
        <v>0.60763888888888884</v>
      </c>
      <c r="F123" s="1">
        <f>AVERAGEIFS(Teams[finish],Teams[year],Teams[[#This Row],[year]],Teams[division],Teams[[#This Row],[division]],Teams[college],"&lt;&gt;Div *")</f>
        <v>0.52309027777777772</v>
      </c>
      <c r="G123" s="7" cm="1">
        <f t="array" ref="G123">MOD(Teams[[#This Row],[winners]]-_xlfn.XLOOKUP(1,(Table1[year]=Teams[[#This Row],[year]])*(Table1[division]=Teams[[#This Row],[division]]),Table1[drop]),1)*1440</f>
        <v>811.24999999999989</v>
      </c>
      <c r="H123" s="7">
        <f>(_xlfn.XLOOKUP(Teams[[#This Row],[year]],Table1[year],Table1[cutoff])-Teams[[#This Row],[finish]])*1440</f>
        <v>115.00000000000007</v>
      </c>
      <c r="I123" s="6" cm="1">
        <f t="array" ref="I123">(Teams[[#This Row],[remaining]]+60)*Teams[[#This Row],[winners alt]]/_xlfn.XLOOKUP(1,(Table1[year]=Teams[[#This Row],[year]])*(Table1[division]=Teams[[#This Row],[division]]),Table1[available]) +50</f>
        <v>185.46636450381683</v>
      </c>
    </row>
    <row r="124" spans="1:9" x14ac:dyDescent="0.3">
      <c r="A124" t="s">
        <v>132</v>
      </c>
      <c r="B124">
        <v>7</v>
      </c>
      <c r="C124">
        <v>2024</v>
      </c>
      <c r="D124">
        <v>3</v>
      </c>
      <c r="E124" s="2">
        <v>0.64166666666666672</v>
      </c>
      <c r="F124" s="2">
        <f>AVERAGEIFS(Teams[finish],Teams[year],Teams[[#This Row],[year]],Teams[division],Teams[[#This Row],[division]],Teams[college],"&lt;&gt;Div *")</f>
        <v>0.65364583333333337</v>
      </c>
      <c r="G124" s="8" cm="1">
        <f t="array" ref="G124">MOD(Teams[[#This Row],[winners]]-_xlfn.XLOOKUP(1,(Table1[year]=Teams[[#This Row],[year]])*(Table1[division]=Teams[[#This Row],[division]]),Table1[drop]),1)*1440</f>
        <v>661.25000000000011</v>
      </c>
      <c r="H124" s="8">
        <f>(_xlfn.XLOOKUP(Teams[[#This Row],[year]],Table1[year],Table1[cutoff])-Teams[[#This Row],[finish]])*1440</f>
        <v>95.999999999999972</v>
      </c>
      <c r="I124" s="6" cm="1">
        <f t="array" ref="I124">(Teams[[#This Row],[remaining]]+60)*Teams[[#This Row],[winners alt]]/_xlfn.XLOOKUP(1,(Table1[year]=Teams[[#This Row],[year]])*(Table1[division]=Teams[[#This Row],[division]]),Table1[available]) +50</f>
        <v>189.39864864864862</v>
      </c>
    </row>
    <row r="125" spans="1:9" x14ac:dyDescent="0.3">
      <c r="A125" t="s">
        <v>15</v>
      </c>
      <c r="B125">
        <v>3</v>
      </c>
      <c r="C125">
        <v>2025</v>
      </c>
      <c r="D125">
        <v>7</v>
      </c>
      <c r="E125" s="2">
        <v>0.6333333333333333</v>
      </c>
      <c r="F125" s="2">
        <f>AVERAGEIFS(Teams[finish],Teams[year],Teams[[#This Row],[year]],Teams[division],Teams[[#This Row],[division]],Teams[college],"&lt;&gt;Div *")</f>
        <v>0.56753472222222223</v>
      </c>
      <c r="G125" s="8" cm="1">
        <f t="array" ref="G125">MOD(Teams[[#This Row],[winners]]-_xlfn.XLOOKUP(1,(Table1[year]=Teams[[#This Row],[year]])*(Table1[division]=Teams[[#This Row],[division]]),Table1[drop]),1)*1440</f>
        <v>997.25</v>
      </c>
      <c r="H125" s="8">
        <f>(_xlfn.XLOOKUP(Teams[[#This Row],[year]],Table1[year],Table1[cutoff])-Teams[[#This Row],[finish]])*1440</f>
        <v>108.0000000000001</v>
      </c>
      <c r="I125" s="6" cm="1">
        <f t="array" ref="I125">(Teams[[#This Row],[remaining]]+60)*Teams[[#This Row],[winners alt]]/_xlfn.XLOOKUP(1,(Table1[year]=Teams[[#This Row],[year]])*(Table1[division]=Teams[[#This Row],[division]]),Table1[available]) +50</f>
        <v>189.61500000000009</v>
      </c>
    </row>
    <row r="126" spans="1:9" x14ac:dyDescent="0.3">
      <c r="A126" t="s">
        <v>132</v>
      </c>
      <c r="B126">
        <v>6</v>
      </c>
      <c r="C126">
        <v>2024</v>
      </c>
      <c r="D126">
        <v>4</v>
      </c>
      <c r="E126" s="2">
        <v>0.63472222222222219</v>
      </c>
      <c r="F126" s="2">
        <f>AVERAGEIFS(Teams[finish],Teams[year],Teams[[#This Row],[year]],Teams[division],Teams[[#This Row],[division]],Teams[college],"&lt;&gt;Div *")</f>
        <v>0.62</v>
      </c>
      <c r="G126" s="8" cm="1">
        <f t="array" ref="G126">MOD(Teams[[#This Row],[winners]]-_xlfn.XLOOKUP(1,(Table1[year]=Teams[[#This Row],[year]])*(Table1[division]=Teams[[#This Row],[division]]),Table1[drop]),1)*1440</f>
        <v>740.80000000000007</v>
      </c>
      <c r="H126" s="8">
        <f>(_xlfn.XLOOKUP(Teams[[#This Row],[year]],Table1[year],Table1[cutoff])-Teams[[#This Row],[finish]])*1440</f>
        <v>106.0000000000001</v>
      </c>
      <c r="I126" s="6" cm="1">
        <f t="array" ref="I126">(Teams[[#This Row],[remaining]]+60)*Teams[[#This Row],[winners alt]]/_xlfn.XLOOKUP(1,(Table1[year]=Teams[[#This Row],[year]])*(Table1[division]=Teams[[#This Row],[division]]),Table1[available]) +50</f>
        <v>191.67373271889409</v>
      </c>
    </row>
    <row r="127" spans="1:9" x14ac:dyDescent="0.3">
      <c r="A127" t="s">
        <v>132</v>
      </c>
      <c r="B127">
        <v>4</v>
      </c>
      <c r="C127">
        <v>2025</v>
      </c>
      <c r="D127">
        <v>5</v>
      </c>
      <c r="E127" s="2">
        <v>0.63680555555555551</v>
      </c>
      <c r="F127" s="2">
        <f>AVERAGEIFS(Teams[finish],Teams[year],Teams[[#This Row],[year]],Teams[division],Teams[[#This Row],[division]],Teams[college],"&lt;&gt;Div *")</f>
        <v>0.61206597222222225</v>
      </c>
      <c r="G127" s="8" cm="1">
        <f t="array" ref="G127">MOD(Teams[[#This Row],[winners]]-_xlfn.XLOOKUP(1,(Table1[year]=Teams[[#This Row],[year]])*(Table1[division]=Teams[[#This Row],[division]]),Table1[drop]),1)*1440</f>
        <v>933.375</v>
      </c>
      <c r="H127" s="8">
        <f>(_xlfn.XLOOKUP(Teams[[#This Row],[year]],Table1[year],Table1[cutoff])-Teams[[#This Row],[finish]])*1440</f>
        <v>103.00000000000011</v>
      </c>
      <c r="I127" s="6" cm="1">
        <f t="array" ref="I127">(Teams[[#This Row],[remaining]]+60)*Teams[[#This Row],[winners alt]]/_xlfn.XLOOKUP(1,(Table1[year]=Teams[[#This Row],[year]])*(Table1[division]=Teams[[#This Row],[division]]),Table1[available]) +50</f>
        <v>191.92175839552249</v>
      </c>
    </row>
    <row r="128" spans="1:9" x14ac:dyDescent="0.3">
      <c r="A128" t="s">
        <v>266</v>
      </c>
      <c r="B128">
        <v>5</v>
      </c>
      <c r="C128">
        <v>2023</v>
      </c>
      <c r="D128">
        <v>4</v>
      </c>
      <c r="E128" s="1">
        <v>0.62083333333333335</v>
      </c>
      <c r="F128" s="1">
        <f>AVERAGEIFS(Teams[finish],Teams[year],Teams[[#This Row],[year]],Teams[division],Teams[[#This Row],[division]],Teams[college],"&lt;&gt;Div *")</f>
        <v>0.62942708333333341</v>
      </c>
      <c r="G128" s="7" cm="1">
        <f t="array" ref="G128">MOD(Teams[[#This Row],[winners]]-_xlfn.XLOOKUP(1,(Table1[year]=Teams[[#This Row],[year]])*(Table1[division]=Teams[[#This Row],[division]]),Table1[drop]),1)*1440</f>
        <v>876.37500000000011</v>
      </c>
      <c r="H128" s="7">
        <f>(_xlfn.XLOOKUP(Teams[[#This Row],[year]],Table1[year],Table1[cutoff])-Teams[[#This Row],[finish]])*1440</f>
        <v>95.999999999999972</v>
      </c>
      <c r="I128" s="6" cm="1">
        <f t="array" ref="I128">(Teams[[#This Row],[remaining]]+60)*Teams[[#This Row],[winners alt]]/_xlfn.XLOOKUP(1,(Table1[year]=Teams[[#This Row],[year]])*(Table1[division]=Teams[[#This Row],[division]]),Table1[available]) +50</f>
        <v>192.41093749999999</v>
      </c>
    </row>
    <row r="129" spans="1:9" x14ac:dyDescent="0.3">
      <c r="A129" t="s">
        <v>266</v>
      </c>
      <c r="B129">
        <v>1</v>
      </c>
      <c r="C129">
        <v>2025</v>
      </c>
      <c r="D129">
        <v>6</v>
      </c>
      <c r="E129" s="2">
        <v>0.63541666666666663</v>
      </c>
      <c r="F129" s="2">
        <f>AVERAGEIFS(Teams[finish],Teams[year],Teams[[#This Row],[year]],Teams[division],Teams[[#This Row],[division]],Teams[college],"&lt;&gt;Div *")</f>
        <v>0.58533950617283947</v>
      </c>
      <c r="G129" s="8" cm="1">
        <f t="array" ref="G129">MOD(Teams[[#This Row],[winners]]-_xlfn.XLOOKUP(1,(Table1[year]=Teams[[#This Row],[year]])*(Table1[division]=Teams[[#This Row],[division]]),Table1[drop]),1)*1440</f>
        <v>1129.8888888888887</v>
      </c>
      <c r="H129" s="8">
        <f>(_xlfn.XLOOKUP(Teams[[#This Row],[year]],Table1[year],Table1[cutoff])-Teams[[#This Row],[finish]])*1440</f>
        <v>105.00000000000011</v>
      </c>
      <c r="I129" s="6" cm="1">
        <f t="array" ref="I129">(Teams[[#This Row],[remaining]]+60)*Teams[[#This Row],[winners alt]]/_xlfn.XLOOKUP(1,(Table1[year]=Teams[[#This Row],[year]])*(Table1[division]=Teams[[#This Row],[division]]),Table1[available]) +50</f>
        <v>192.64090793165016</v>
      </c>
    </row>
    <row r="130" spans="1:9" x14ac:dyDescent="0.3">
      <c r="A130" t="s">
        <v>250</v>
      </c>
      <c r="B130">
        <v>5</v>
      </c>
      <c r="C130">
        <v>2024</v>
      </c>
      <c r="D130">
        <v>7</v>
      </c>
      <c r="E130" s="2">
        <v>0.63194444444444442</v>
      </c>
      <c r="F130" s="2">
        <f>AVERAGEIFS(Teams[finish],Teams[year],Teams[[#This Row],[year]],Teams[division],Teams[[#This Row],[division]],Teams[college],"&lt;&gt;Div *")</f>
        <v>0.61149691358024683</v>
      </c>
      <c r="G130" s="8" cm="1">
        <f t="array" ref="G130">MOD(Teams[[#This Row],[winners]]-_xlfn.XLOOKUP(1,(Table1[year]=Teams[[#This Row],[year]])*(Table1[division]=Teams[[#This Row],[division]]),Table1[drop]),1)*1440</f>
        <v>691.55555555555543</v>
      </c>
      <c r="H130" s="8">
        <f>(_xlfn.XLOOKUP(Teams[[#This Row],[year]],Table1[year],Table1[cutoff])-Teams[[#This Row],[finish]])*1440</f>
        <v>110.00000000000009</v>
      </c>
      <c r="I130" s="6" cm="1">
        <f t="array" ref="I130">(Teams[[#This Row],[remaining]]+60)*Teams[[#This Row],[winners alt]]/_xlfn.XLOOKUP(1,(Table1[year]=Teams[[#This Row],[year]])*(Table1[division]=Teams[[#This Row],[division]]),Table1[available]) +50</f>
        <v>191.4734590185854</v>
      </c>
    </row>
    <row r="131" spans="1:9" x14ac:dyDescent="0.3">
      <c r="A131" t="s">
        <v>15</v>
      </c>
      <c r="B131">
        <v>5</v>
      </c>
      <c r="C131">
        <v>2024</v>
      </c>
      <c r="D131">
        <v>6</v>
      </c>
      <c r="E131" s="2">
        <v>0.62986111111111109</v>
      </c>
      <c r="F131" s="2">
        <f>AVERAGEIFS(Teams[finish],Teams[year],Teams[[#This Row],[year]],Teams[division],Teams[[#This Row],[division]],Teams[college],"&lt;&gt;Div *")</f>
        <v>0.61149691358024683</v>
      </c>
      <c r="G131" s="8" cm="1">
        <f t="array" ref="G131">MOD(Teams[[#This Row],[winners]]-_xlfn.XLOOKUP(1,(Table1[year]=Teams[[#This Row],[year]])*(Table1[division]=Teams[[#This Row],[division]]),Table1[drop]),1)*1440</f>
        <v>691.55555555555543</v>
      </c>
      <c r="H131" s="8">
        <f>(_xlfn.XLOOKUP(Teams[[#This Row],[year]],Table1[year],Table1[cutoff])-Teams[[#This Row],[finish]])*1440</f>
        <v>113.00000000000009</v>
      </c>
      <c r="I131" s="6" cm="1">
        <f t="array" ref="I131">(Teams[[#This Row],[remaining]]+60)*Teams[[#This Row],[winners alt]]/_xlfn.XLOOKUP(1,(Table1[year]=Teams[[#This Row],[year]])*(Table1[division]=Teams[[#This Row],[division]]),Table1[available]) +50</f>
        <v>193.97004947185457</v>
      </c>
    </row>
    <row r="132" spans="1:9" x14ac:dyDescent="0.3">
      <c r="A132" t="s">
        <v>241</v>
      </c>
      <c r="B132">
        <v>5</v>
      </c>
      <c r="C132">
        <v>2023</v>
      </c>
      <c r="D132">
        <v>3</v>
      </c>
      <c r="E132" s="1">
        <v>0.61805555555555558</v>
      </c>
      <c r="F132" s="1">
        <f>AVERAGEIFS(Teams[finish],Teams[year],Teams[[#This Row],[year]],Teams[division],Teams[[#This Row],[division]],Teams[college],"&lt;&gt;Div *")</f>
        <v>0.62942708333333341</v>
      </c>
      <c r="G132" s="7" cm="1">
        <f t="array" ref="G132">MOD(Teams[[#This Row],[winners]]-_xlfn.XLOOKUP(1,(Table1[year]=Teams[[#This Row],[year]])*(Table1[division]=Teams[[#This Row],[division]]),Table1[drop]),1)*1440</f>
        <v>876.37500000000011</v>
      </c>
      <c r="H132" s="7">
        <f>(_xlfn.XLOOKUP(Teams[[#This Row],[year]],Table1[year],Table1[cutoff])-Teams[[#This Row],[finish]])*1440</f>
        <v>99.999999999999972</v>
      </c>
      <c r="I132" s="6" cm="1">
        <f t="array" ref="I132">(Teams[[#This Row],[remaining]]+60)*Teams[[#This Row],[winners alt]]/_xlfn.XLOOKUP(1,(Table1[year]=Teams[[#This Row],[year]])*(Table1[division]=Teams[[#This Row],[division]]),Table1[available]) +50</f>
        <v>196.0625</v>
      </c>
    </row>
    <row r="133" spans="1:9" x14ac:dyDescent="0.3">
      <c r="A133" t="s">
        <v>266</v>
      </c>
      <c r="B133">
        <v>4</v>
      </c>
      <c r="C133">
        <v>2024</v>
      </c>
      <c r="D133">
        <v>2</v>
      </c>
      <c r="E133" s="2">
        <v>0.63749999999999996</v>
      </c>
      <c r="F133" s="2">
        <f>AVERAGEIFS(Teams[finish],Teams[year],Teams[[#This Row],[year]],Teams[division],Teams[[#This Row],[division]],Teams[college],"&lt;&gt;Div *")</f>
        <v>0.65188492063492054</v>
      </c>
      <c r="G133" s="8" cm="1">
        <f t="array" ref="G133">MOD(Teams[[#This Row],[winners]]-_xlfn.XLOOKUP(1,(Table1[year]=Teams[[#This Row],[year]])*(Table1[division]=Teams[[#This Row],[division]]),Table1[drop]),1)*1440</f>
        <v>777.71428571428555</v>
      </c>
      <c r="H133" s="8">
        <f>(_xlfn.XLOOKUP(Teams[[#This Row],[year]],Table1[year],Table1[cutoff])-Teams[[#This Row],[finish]])*1440</f>
        <v>102.00000000000011</v>
      </c>
      <c r="I133" s="6" cm="1">
        <f t="array" ref="I133">(Teams[[#This Row],[remaining]]+60)*Teams[[#This Row],[winners alt]]/_xlfn.XLOOKUP(1,(Table1[year]=Teams[[#This Row],[year]])*(Table1[division]=Teams[[#This Row],[division]]),Table1[available]) +50</f>
        <v>196.67021453517387</v>
      </c>
    </row>
    <row r="134" spans="1:9" x14ac:dyDescent="0.3">
      <c r="A134" t="s">
        <v>132</v>
      </c>
      <c r="B134">
        <v>7</v>
      </c>
      <c r="C134">
        <v>2023</v>
      </c>
      <c r="D134">
        <v>8</v>
      </c>
      <c r="E134" s="2">
        <v>0.6</v>
      </c>
      <c r="F134" s="2">
        <f>AVERAGEIFS(Teams[finish],Teams[year],Teams[[#This Row],[year]],Teams[division],Teams[[#This Row],[division]],Teams[college],"&lt;&gt;Div *")</f>
        <v>0.57826388888888891</v>
      </c>
      <c r="G134" s="8" cm="1">
        <f t="array" ref="G134">MOD(Teams[[#This Row],[winners]]-_xlfn.XLOOKUP(1,(Table1[year]=Teams[[#This Row],[year]])*(Table1[division]=Teams[[#This Row],[division]]),Table1[drop]),1)*1440</f>
        <v>620.69999999999993</v>
      </c>
      <c r="H134" s="8">
        <f>(_xlfn.XLOOKUP(Teams[[#This Row],[year]],Table1[year],Table1[cutoff])-Teams[[#This Row],[finish]])*1440</f>
        <v>126.00000000000003</v>
      </c>
      <c r="I134" s="6" cm="1">
        <f t="array" ref="I134">(Teams[[#This Row],[remaining]]+60)*Teams[[#This Row],[winners alt]]/_xlfn.XLOOKUP(1,(Table1[year]=Teams[[#This Row],[year]])*(Table1[division]=Teams[[#This Row],[division]]),Table1[available]) +50</f>
        <v>198.39357326478151</v>
      </c>
    </row>
    <row r="135" spans="1:9" x14ac:dyDescent="0.3">
      <c r="A135" t="s">
        <v>756</v>
      </c>
      <c r="B135">
        <v>5</v>
      </c>
      <c r="C135">
        <v>2024</v>
      </c>
      <c r="D135" t="s">
        <v>735</v>
      </c>
      <c r="E135" s="1">
        <v>0.62361111111111112</v>
      </c>
      <c r="F135" s="1">
        <f>AVERAGEIFS(Teams[finish],Teams[year],Teams[[#This Row],[year]],Teams[division],Teams[[#This Row],[division]],Teams[college],"&lt;&gt;Div *")</f>
        <v>0.61149691358024683</v>
      </c>
      <c r="G135" s="7" cm="1">
        <f t="array" ref="G135">MOD(Teams[[#This Row],[winners]]-_xlfn.XLOOKUP(1,(Table1[year]=Teams[[#This Row],[year]])*(Table1[division]=Teams[[#This Row],[division]]),Table1[drop]),1)*1440</f>
        <v>691.55555555555543</v>
      </c>
      <c r="H135" s="7">
        <f>(_xlfn.XLOOKUP(Teams[[#This Row],[year]],Table1[year],Table1[cutoff])-Teams[[#This Row],[finish]])*1440</f>
        <v>122.00000000000004</v>
      </c>
      <c r="I135" s="6" cm="1">
        <f t="array" ref="I135">(Teams[[#This Row],[remaining]]+60)*Teams[[#This Row],[winners alt]]/_xlfn.XLOOKUP(1,(Table1[year]=Teams[[#This Row],[year]])*(Table1[division]=Teams[[#This Row],[division]]),Table1[available]) +50</f>
        <v>201.45982083166197</v>
      </c>
    </row>
    <row r="136" spans="1:9" x14ac:dyDescent="0.3">
      <c r="A136" t="s">
        <v>754</v>
      </c>
      <c r="B136">
        <v>5</v>
      </c>
      <c r="C136">
        <v>2023</v>
      </c>
      <c r="D136" t="s">
        <v>735</v>
      </c>
      <c r="E136" s="1">
        <v>0.61111111111111116</v>
      </c>
      <c r="F136" s="1">
        <f>AVERAGEIFS(Teams[finish],Teams[year],Teams[[#This Row],[year]],Teams[division],Teams[[#This Row],[division]],Teams[college],"&lt;&gt;Div *")</f>
        <v>0.62942708333333341</v>
      </c>
      <c r="G136" s="7" cm="1">
        <f t="array" ref="G136">MOD(Teams[[#This Row],[winners]]-_xlfn.XLOOKUP(1,(Table1[year]=Teams[[#This Row],[year]])*(Table1[division]=Teams[[#This Row],[division]]),Table1[drop]),1)*1440</f>
        <v>876.37500000000011</v>
      </c>
      <c r="H136" s="7">
        <f>(_xlfn.XLOOKUP(Teams[[#This Row],[year]],Table1[year],Table1[cutoff])-Teams[[#This Row],[finish]])*1440</f>
        <v>109.99999999999993</v>
      </c>
      <c r="I136" s="6" cm="1">
        <f t="array" ref="I136">(Teams[[#This Row],[remaining]]+60)*Teams[[#This Row],[winners alt]]/_xlfn.XLOOKUP(1,(Table1[year]=Teams[[#This Row],[year]])*(Table1[division]=Teams[[#This Row],[division]]),Table1[available]) +50</f>
        <v>205.19140624999997</v>
      </c>
    </row>
    <row r="137" spans="1:9" x14ac:dyDescent="0.3">
      <c r="A137" t="s">
        <v>10</v>
      </c>
      <c r="B137">
        <v>1</v>
      </c>
      <c r="C137">
        <v>2024</v>
      </c>
      <c r="D137">
        <v>5</v>
      </c>
      <c r="E137" s="2">
        <v>0.62638888888888888</v>
      </c>
      <c r="F137" s="2">
        <f>AVERAGEIFS(Teams[finish],Teams[year],Teams[[#This Row],[year]],Teams[division],Teams[[#This Row],[division]],Teams[college],"&lt;&gt;Div *")</f>
        <v>0.60277777777777775</v>
      </c>
      <c r="G137" s="8" cm="1">
        <f t="array" ref="G137">MOD(Teams[[#This Row],[winners]]-_xlfn.XLOOKUP(1,(Table1[year]=Teams[[#This Row],[year]])*(Table1[division]=Teams[[#This Row],[division]]),Table1[drop]),1)*1440</f>
        <v>1084</v>
      </c>
      <c r="H137" s="8">
        <f>(_xlfn.XLOOKUP(Teams[[#This Row],[year]],Table1[year],Table1[cutoff])-Teams[[#This Row],[finish]])*1440</f>
        <v>118.00000000000006</v>
      </c>
      <c r="I137" s="6" cm="1">
        <f t="array" ref="I137">(Teams[[#This Row],[remaining]]+60)*Teams[[#This Row],[winners alt]]/_xlfn.XLOOKUP(1,(Table1[year]=Teams[[#This Row],[year]])*(Table1[division]=Teams[[#This Row],[division]]),Table1[available]) +50</f>
        <v>206.11003236245961</v>
      </c>
    </row>
    <row r="138" spans="1:9" x14ac:dyDescent="0.3">
      <c r="A138" t="s">
        <v>5</v>
      </c>
      <c r="B138">
        <v>7</v>
      </c>
      <c r="C138">
        <v>2023</v>
      </c>
      <c r="D138">
        <v>7</v>
      </c>
      <c r="E138" s="2">
        <v>0.59097222222222223</v>
      </c>
      <c r="F138" s="2">
        <f>AVERAGEIFS(Teams[finish],Teams[year],Teams[[#This Row],[year]],Teams[division],Teams[[#This Row],[division]],Teams[college],"&lt;&gt;Div *")</f>
        <v>0.57826388888888891</v>
      </c>
      <c r="G138" s="8" cm="1">
        <f t="array" ref="G138">MOD(Teams[[#This Row],[winners]]-_xlfn.XLOOKUP(1,(Table1[year]=Teams[[#This Row],[year]])*(Table1[division]=Teams[[#This Row],[division]]),Table1[drop]),1)*1440</f>
        <v>620.69999999999993</v>
      </c>
      <c r="H138" s="8">
        <f>(_xlfn.XLOOKUP(Teams[[#This Row],[year]],Table1[year],Table1[cutoff])-Teams[[#This Row],[finish]])*1440</f>
        <v>139</v>
      </c>
      <c r="I138" s="6" cm="1">
        <f t="array" ref="I138">(Teams[[#This Row],[remaining]]+60)*Teams[[#This Row],[winners alt]]/_xlfn.XLOOKUP(1,(Table1[year]=Teams[[#This Row],[year]])*(Table1[division]=Teams[[#This Row],[division]]),Table1[available]) +50</f>
        <v>208.76516709511566</v>
      </c>
    </row>
    <row r="139" spans="1:9" x14ac:dyDescent="0.3">
      <c r="A139" t="s">
        <v>137</v>
      </c>
      <c r="B139">
        <v>2</v>
      </c>
      <c r="C139">
        <v>2023</v>
      </c>
      <c r="D139">
        <v>5</v>
      </c>
      <c r="E139" s="1">
        <v>0.59722222222222221</v>
      </c>
      <c r="F139" s="1">
        <f>AVERAGEIFS(Teams[finish],Teams[year],Teams[[#This Row],[year]],Teams[division],Teams[[#This Row],[division]],Teams[college],"&lt;&gt;Div *")</f>
        <v>0.54902777777777767</v>
      </c>
      <c r="G139" s="7" cm="1">
        <f t="array" ref="G139">MOD(Teams[[#This Row],[winners]]-_xlfn.XLOOKUP(1,(Table1[year]=Teams[[#This Row],[year]])*(Table1[division]=Teams[[#This Row],[division]]),Table1[drop]),1)*1440</f>
        <v>1030.5999999999997</v>
      </c>
      <c r="H139" s="7">
        <f>(_xlfn.XLOOKUP(Teams[[#This Row],[year]],Table1[year],Table1[cutoff])-Teams[[#This Row],[finish]])*1440</f>
        <v>130.00000000000003</v>
      </c>
      <c r="I139" s="6" cm="1">
        <f t="array" ref="I139">(Teams[[#This Row],[remaining]]+60)*Teams[[#This Row],[winners alt]]/_xlfn.XLOOKUP(1,(Table1[year]=Teams[[#This Row],[year]])*(Table1[division]=Teams[[#This Row],[division]]),Table1[available]) +50</f>
        <v>209.19837398373983</v>
      </c>
    </row>
    <row r="140" spans="1:9" x14ac:dyDescent="0.3">
      <c r="A140" t="s">
        <v>48</v>
      </c>
      <c r="B140">
        <v>2</v>
      </c>
      <c r="C140">
        <v>2023</v>
      </c>
      <c r="D140">
        <v>4</v>
      </c>
      <c r="E140" s="1">
        <v>0.59722222222222221</v>
      </c>
      <c r="F140" s="1">
        <f>AVERAGEIFS(Teams[finish],Teams[year],Teams[[#This Row],[year]],Teams[division],Teams[[#This Row],[division]],Teams[college],"&lt;&gt;Div *")</f>
        <v>0.54902777777777767</v>
      </c>
      <c r="G140" s="7" cm="1">
        <f t="array" ref="G140">MOD(Teams[[#This Row],[winners]]-_xlfn.XLOOKUP(1,(Table1[year]=Teams[[#This Row],[year]])*(Table1[division]=Teams[[#This Row],[division]]),Table1[drop]),1)*1440</f>
        <v>1030.5999999999997</v>
      </c>
      <c r="H140" s="7">
        <f>(_xlfn.XLOOKUP(Teams[[#This Row],[year]],Table1[year],Table1[cutoff])-Teams[[#This Row],[finish]])*1440</f>
        <v>130.00000000000003</v>
      </c>
      <c r="I140" s="6" cm="1">
        <f t="array" ref="I140">(Teams[[#This Row],[remaining]]+60)*Teams[[#This Row],[winners alt]]/_xlfn.XLOOKUP(1,(Table1[year]=Teams[[#This Row],[year]])*(Table1[division]=Teams[[#This Row],[division]]),Table1[available]) +50</f>
        <v>209.19837398373983</v>
      </c>
    </row>
    <row r="141" spans="1:9" x14ac:dyDescent="0.3">
      <c r="A141" t="s">
        <v>10</v>
      </c>
      <c r="B141">
        <v>5</v>
      </c>
      <c r="C141">
        <v>2024</v>
      </c>
      <c r="D141">
        <v>5</v>
      </c>
      <c r="E141" s="2">
        <v>0.61805555555555558</v>
      </c>
      <c r="F141" s="2">
        <f>AVERAGEIFS(Teams[finish],Teams[year],Teams[[#This Row],[year]],Teams[division],Teams[[#This Row],[division]],Teams[college],"&lt;&gt;Div *")</f>
        <v>0.61149691358024683</v>
      </c>
      <c r="G141" s="8" cm="1">
        <f t="array" ref="G141">MOD(Teams[[#This Row],[winners]]-_xlfn.XLOOKUP(1,(Table1[year]=Teams[[#This Row],[year]])*(Table1[division]=Teams[[#This Row],[division]]),Table1[drop]),1)*1440</f>
        <v>691.55555555555543</v>
      </c>
      <c r="H141" s="8">
        <f>(_xlfn.XLOOKUP(Teams[[#This Row],[year]],Table1[year],Table1[cutoff])-Teams[[#This Row],[finish]])*1440</f>
        <v>130.00000000000003</v>
      </c>
      <c r="I141" s="6" cm="1">
        <f t="array" ref="I141">(Teams[[#This Row],[remaining]]+60)*Teams[[#This Row],[winners alt]]/_xlfn.XLOOKUP(1,(Table1[year]=Teams[[#This Row],[year]])*(Table1[division]=Teams[[#This Row],[division]]),Table1[available]) +50</f>
        <v>208.11739537371304</v>
      </c>
    </row>
    <row r="142" spans="1:9" x14ac:dyDescent="0.3">
      <c r="A142" t="s">
        <v>266</v>
      </c>
      <c r="B142">
        <v>7</v>
      </c>
      <c r="C142">
        <v>2023</v>
      </c>
      <c r="D142">
        <v>6</v>
      </c>
      <c r="E142" s="2">
        <v>0.58819444444444446</v>
      </c>
      <c r="F142" s="2">
        <f>AVERAGEIFS(Teams[finish],Teams[year],Teams[[#This Row],[year]],Teams[division],Teams[[#This Row],[division]],Teams[college],"&lt;&gt;Div *")</f>
        <v>0.57826388888888891</v>
      </c>
      <c r="G142" s="8" cm="1">
        <f t="array" ref="G142">MOD(Teams[[#This Row],[winners]]-_xlfn.XLOOKUP(1,(Table1[year]=Teams[[#This Row],[year]])*(Table1[division]=Teams[[#This Row],[division]]),Table1[drop]),1)*1440</f>
        <v>620.69999999999993</v>
      </c>
      <c r="H142" s="8">
        <f>(_xlfn.XLOOKUP(Teams[[#This Row],[year]],Table1[year],Table1[cutoff])-Teams[[#This Row],[finish]])*1440</f>
        <v>142.99999999999997</v>
      </c>
      <c r="I142" s="6" cm="1">
        <f t="array" ref="I142">(Teams[[#This Row],[remaining]]+60)*Teams[[#This Row],[winners alt]]/_xlfn.XLOOKUP(1,(Table1[year]=Teams[[#This Row],[year]])*(Table1[division]=Teams[[#This Row],[division]]),Table1[available]) +50</f>
        <v>211.95642673521846</v>
      </c>
    </row>
    <row r="143" spans="1:9" x14ac:dyDescent="0.3">
      <c r="A143" t="s">
        <v>754</v>
      </c>
      <c r="B143">
        <v>6</v>
      </c>
      <c r="C143">
        <v>2023</v>
      </c>
      <c r="D143" t="s">
        <v>735</v>
      </c>
      <c r="E143" s="1">
        <v>0.60416666666666663</v>
      </c>
      <c r="F143" s="1">
        <f>AVERAGEIFS(Teams[finish],Teams[year],Teams[[#This Row],[year]],Teams[division],Teams[[#This Row],[division]],Teams[college],"&lt;&gt;Div *")</f>
        <v>0.63140432098765431</v>
      </c>
      <c r="G143" s="7" cm="1">
        <f t="array" ref="G143">MOD(Teams[[#This Row],[winners]]-_xlfn.XLOOKUP(1,(Table1[year]=Teams[[#This Row],[year]])*(Table1[division]=Teams[[#This Row],[division]]),Table1[drop]),1)*1440</f>
        <v>849.22222222222229</v>
      </c>
      <c r="H143" s="7">
        <f>(_xlfn.XLOOKUP(Teams[[#This Row],[year]],Table1[year],Table1[cutoff])-Teams[[#This Row],[finish]])*1440</f>
        <v>120.00000000000006</v>
      </c>
      <c r="I143" s="6" cm="1">
        <f t="array" ref="I143">(Teams[[#This Row],[remaining]]+60)*Teams[[#This Row],[winners alt]]/_xlfn.XLOOKUP(1,(Table1[year]=Teams[[#This Row],[year]])*(Table1[division]=Teams[[#This Row],[division]]),Table1[available]) +50</f>
        <v>214.36559139784953</v>
      </c>
    </row>
    <row r="144" spans="1:9" x14ac:dyDescent="0.3">
      <c r="A144" t="s">
        <v>132</v>
      </c>
      <c r="B144">
        <v>5</v>
      </c>
      <c r="C144">
        <v>2024</v>
      </c>
      <c r="D144">
        <v>4</v>
      </c>
      <c r="E144" s="2">
        <v>0.61250000000000004</v>
      </c>
      <c r="F144" s="2">
        <f>AVERAGEIFS(Teams[finish],Teams[year],Teams[[#This Row],[year]],Teams[division],Teams[[#This Row],[division]],Teams[college],"&lt;&gt;Div *")</f>
        <v>0.61149691358024683</v>
      </c>
      <c r="G144" s="8" cm="1">
        <f t="array" ref="G144">MOD(Teams[[#This Row],[winners]]-_xlfn.XLOOKUP(1,(Table1[year]=Teams[[#This Row],[year]])*(Table1[division]=Teams[[#This Row],[division]]),Table1[drop]),1)*1440</f>
        <v>691.55555555555543</v>
      </c>
      <c r="H144" s="8">
        <f>(_xlfn.XLOOKUP(Teams[[#This Row],[year]],Table1[year],Table1[cutoff])-Teams[[#This Row],[finish]])*1440</f>
        <v>138</v>
      </c>
      <c r="I144" s="6" cm="1">
        <f t="array" ref="I144">(Teams[[#This Row],[remaining]]+60)*Teams[[#This Row],[winners alt]]/_xlfn.XLOOKUP(1,(Table1[year]=Teams[[#This Row],[year]])*(Table1[division]=Teams[[#This Row],[division]]),Table1[available]) +50</f>
        <v>214.77496991576407</v>
      </c>
    </row>
    <row r="145" spans="1:9" x14ac:dyDescent="0.3">
      <c r="A145" t="s">
        <v>5</v>
      </c>
      <c r="B145">
        <v>4</v>
      </c>
      <c r="C145">
        <v>2022</v>
      </c>
      <c r="D145">
        <v>4</v>
      </c>
      <c r="E145" s="1">
        <v>0.55694444444444446</v>
      </c>
      <c r="F145" s="1">
        <f>AVERAGEIFS(Teams[finish],Teams[year],Teams[[#This Row],[year]],Teams[division],Teams[[#This Row],[division]],Teams[college],"&lt;&gt;Div *")</f>
        <v>0.4699652777777778</v>
      </c>
      <c r="G145" s="7" cm="1">
        <f t="array" ref="G145">MOD(Teams[[#This Row],[winners]]-_xlfn.XLOOKUP(1,(Table1[year]=Teams[[#This Row],[year]])*(Table1[division]=Teams[[#This Row],[division]]),Table1[drop]),1)*1440</f>
        <v>586.75</v>
      </c>
      <c r="H145" s="7">
        <f>(_xlfn.XLOOKUP(Teams[[#This Row],[year]],Table1[year],Table1[cutoff])-Teams[[#This Row],[finish]])*1440</f>
        <v>187.99999999999997</v>
      </c>
      <c r="I145" s="6" cm="1">
        <f t="array" ref="I145">(Teams[[#This Row],[remaining]]+60)*Teams[[#This Row],[winners alt]]/_xlfn.XLOOKUP(1,(Table1[year]=Teams[[#This Row],[year]])*(Table1[division]=Teams[[#This Row],[division]]),Table1[available]) +50</f>
        <v>211.68222222222218</v>
      </c>
    </row>
    <row r="146" spans="1:9" x14ac:dyDescent="0.3">
      <c r="A146" t="s">
        <v>241</v>
      </c>
      <c r="B146">
        <v>3</v>
      </c>
      <c r="C146">
        <v>2025</v>
      </c>
      <c r="D146">
        <v>6</v>
      </c>
      <c r="E146" s="2">
        <v>0.60972222222222228</v>
      </c>
      <c r="F146" s="2">
        <f>AVERAGEIFS(Teams[finish],Teams[year],Teams[[#This Row],[year]],Teams[division],Teams[[#This Row],[division]],Teams[college],"&lt;&gt;Div *")</f>
        <v>0.56753472222222223</v>
      </c>
      <c r="G146" s="8" cm="1">
        <f t="array" ref="G146">MOD(Teams[[#This Row],[winners]]-_xlfn.XLOOKUP(1,(Table1[year]=Teams[[#This Row],[year]])*(Table1[division]=Teams[[#This Row],[division]]),Table1[drop]),1)*1440</f>
        <v>997.25</v>
      </c>
      <c r="H146" s="8">
        <f>(_xlfn.XLOOKUP(Teams[[#This Row],[year]],Table1[year],Table1[cutoff])-Teams[[#This Row],[finish]])*1440</f>
        <v>141.99999999999997</v>
      </c>
      <c r="I146" s="6" cm="1">
        <f t="array" ref="I146">(Teams[[#This Row],[remaining]]+60)*Teams[[#This Row],[winners alt]]/_xlfn.XLOOKUP(1,(Table1[year]=Teams[[#This Row],[year]])*(Table1[division]=Teams[[#This Row],[division]]),Table1[available]) +50</f>
        <v>217.87041666666664</v>
      </c>
    </row>
    <row r="147" spans="1:9" x14ac:dyDescent="0.3">
      <c r="A147" t="s">
        <v>15</v>
      </c>
      <c r="B147">
        <v>6</v>
      </c>
      <c r="C147">
        <v>2024</v>
      </c>
      <c r="D147">
        <v>3</v>
      </c>
      <c r="E147" s="2">
        <v>0.61250000000000004</v>
      </c>
      <c r="F147" s="2">
        <f>AVERAGEIFS(Teams[finish],Teams[year],Teams[[#This Row],[year]],Teams[division],Teams[[#This Row],[division]],Teams[college],"&lt;&gt;Div *")</f>
        <v>0.62</v>
      </c>
      <c r="G147" s="8" cm="1">
        <f t="array" ref="G147">MOD(Teams[[#This Row],[winners]]-_xlfn.XLOOKUP(1,(Table1[year]=Teams[[#This Row],[year]])*(Table1[division]=Teams[[#This Row],[division]]),Table1[drop]),1)*1440</f>
        <v>740.80000000000007</v>
      </c>
      <c r="H147" s="8">
        <f>(_xlfn.XLOOKUP(Teams[[#This Row],[year]],Table1[year],Table1[cutoff])-Teams[[#This Row],[finish]])*1440</f>
        <v>138</v>
      </c>
      <c r="I147" s="6" cm="1">
        <f t="array" ref="I147">(Teams[[#This Row],[remaining]]+60)*Teams[[#This Row],[winners alt]]/_xlfn.XLOOKUP(1,(Table1[year]=Teams[[#This Row],[year]])*(Table1[division]=Teams[[#This Row],[division]]),Table1[available]) +50</f>
        <v>218.98433179723503</v>
      </c>
    </row>
    <row r="148" spans="1:9" x14ac:dyDescent="0.3">
      <c r="A148" t="s">
        <v>137</v>
      </c>
      <c r="B148">
        <v>6</v>
      </c>
      <c r="C148">
        <v>2024</v>
      </c>
      <c r="D148">
        <v>2</v>
      </c>
      <c r="E148" s="2">
        <v>0.61111111111111116</v>
      </c>
      <c r="F148" s="2">
        <f>AVERAGEIFS(Teams[finish],Teams[year],Teams[[#This Row],[year]],Teams[division],Teams[[#This Row],[division]],Teams[college],"&lt;&gt;Div *")</f>
        <v>0.62</v>
      </c>
      <c r="G148" s="8" cm="1">
        <f t="array" ref="G148">MOD(Teams[[#This Row],[winners]]-_xlfn.XLOOKUP(1,(Table1[year]=Teams[[#This Row],[year]])*(Table1[division]=Teams[[#This Row],[division]]),Table1[drop]),1)*1440</f>
        <v>740.80000000000007</v>
      </c>
      <c r="H148" s="8">
        <f>(_xlfn.XLOOKUP(Teams[[#This Row],[year]],Table1[year],Table1[cutoff])-Teams[[#This Row],[finish]])*1440</f>
        <v>139.99999999999997</v>
      </c>
      <c r="I148" s="6" cm="1">
        <f t="array" ref="I148">(Teams[[#This Row],[remaining]]+60)*Teams[[#This Row],[winners alt]]/_xlfn.XLOOKUP(1,(Table1[year]=Teams[[#This Row],[year]])*(Table1[division]=Teams[[#This Row],[division]]),Table1[available]) +50</f>
        <v>220.69124423963132</v>
      </c>
    </row>
    <row r="149" spans="1:9" x14ac:dyDescent="0.3">
      <c r="A149" t="s">
        <v>19</v>
      </c>
      <c r="B149">
        <v>2</v>
      </c>
      <c r="C149">
        <v>2023</v>
      </c>
      <c r="D149">
        <v>3</v>
      </c>
      <c r="E149" s="1">
        <v>0.58750000000000002</v>
      </c>
      <c r="F149" s="1">
        <f>AVERAGEIFS(Teams[finish],Teams[year],Teams[[#This Row],[year]],Teams[division],Teams[[#This Row],[division]],Teams[college],"&lt;&gt;Div *")</f>
        <v>0.54902777777777767</v>
      </c>
      <c r="G149" s="7" cm="1">
        <f t="array" ref="G149">MOD(Teams[[#This Row],[winners]]-_xlfn.XLOOKUP(1,(Table1[year]=Teams[[#This Row],[year]])*(Table1[division]=Teams[[#This Row],[division]]),Table1[drop]),1)*1440</f>
        <v>1030.5999999999997</v>
      </c>
      <c r="H149" s="7">
        <f>(_xlfn.XLOOKUP(Teams[[#This Row],[year]],Table1[year],Table1[cutoff])-Teams[[#This Row],[finish]])*1440</f>
        <v>143.99999999999997</v>
      </c>
      <c r="I149" s="6" cm="1">
        <f t="array" ref="I149">(Teams[[#This Row],[remaining]]+60)*Teams[[#This Row],[winners alt]]/_xlfn.XLOOKUP(1,(Table1[year]=Teams[[#This Row],[year]])*(Table1[division]=Teams[[#This Row],[division]]),Table1[available]) +50</f>
        <v>220.9287804878048</v>
      </c>
    </row>
    <row r="150" spans="1:9" x14ac:dyDescent="0.3">
      <c r="A150" t="s">
        <v>10</v>
      </c>
      <c r="B150">
        <v>3</v>
      </c>
      <c r="C150">
        <v>2023</v>
      </c>
      <c r="D150">
        <v>2</v>
      </c>
      <c r="E150" s="1">
        <v>0.59375</v>
      </c>
      <c r="F150" s="1">
        <f>AVERAGEIFS(Teams[finish],Teams[year],Teams[[#This Row],[year]],Teams[division],Teams[[#This Row],[division]],Teams[college],"&lt;&gt;Div *")</f>
        <v>0.59184027777777781</v>
      </c>
      <c r="G150" s="7" cm="1">
        <f t="array" ref="G150">MOD(Teams[[#This Row],[winners]]-_xlfn.XLOOKUP(1,(Table1[year]=Teams[[#This Row],[year]])*(Table1[division]=Teams[[#This Row],[division]]),Table1[drop]),1)*1440</f>
        <v>1032.25</v>
      </c>
      <c r="H150" s="7">
        <f>(_xlfn.XLOOKUP(Teams[[#This Row],[year]],Table1[year],Table1[cutoff])-Teams[[#This Row],[finish]])*1440</f>
        <v>135</v>
      </c>
      <c r="I150" s="6" cm="1">
        <f t="array" ref="I150">(Teams[[#This Row],[remaining]]+60)*Teams[[#This Row],[winners alt]]/_xlfn.XLOOKUP(1,(Table1[year]=Teams[[#This Row],[year]])*(Table1[division]=Teams[[#This Row],[division]]),Table1[available]) +50</f>
        <v>222.04166666666666</v>
      </c>
    </row>
    <row r="151" spans="1:9" x14ac:dyDescent="0.3">
      <c r="A151" t="s">
        <v>250</v>
      </c>
      <c r="B151">
        <v>3</v>
      </c>
      <c r="C151">
        <v>2023</v>
      </c>
      <c r="D151">
        <v>2</v>
      </c>
      <c r="E151" s="1">
        <v>0.59375</v>
      </c>
      <c r="F151" s="1">
        <f>AVERAGEIFS(Teams[finish],Teams[year],Teams[[#This Row],[year]],Teams[division],Teams[[#This Row],[division]],Teams[college],"&lt;&gt;Div *")</f>
        <v>0.59184027777777781</v>
      </c>
      <c r="G151" s="7" cm="1">
        <f t="array" ref="G151">MOD(Teams[[#This Row],[winners]]-_xlfn.XLOOKUP(1,(Table1[year]=Teams[[#This Row],[year]])*(Table1[division]=Teams[[#This Row],[division]]),Table1[drop]),1)*1440</f>
        <v>1032.25</v>
      </c>
      <c r="H151" s="7">
        <f>(_xlfn.XLOOKUP(Teams[[#This Row],[year]],Table1[year],Table1[cutoff])-Teams[[#This Row],[finish]])*1440</f>
        <v>135</v>
      </c>
      <c r="I151" s="6" cm="1">
        <f t="array" ref="I151">(Teams[[#This Row],[remaining]]+60)*Teams[[#This Row],[winners alt]]/_xlfn.XLOOKUP(1,(Table1[year]=Teams[[#This Row],[year]])*(Table1[division]=Teams[[#This Row],[division]]),Table1[available]) +50</f>
        <v>222.04166666666666</v>
      </c>
    </row>
    <row r="152" spans="1:9" x14ac:dyDescent="0.3">
      <c r="A152" t="s">
        <v>123</v>
      </c>
      <c r="B152">
        <v>6</v>
      </c>
      <c r="C152">
        <v>2022</v>
      </c>
      <c r="D152">
        <v>1</v>
      </c>
      <c r="E152" s="1">
        <v>0.48958333333333337</v>
      </c>
      <c r="F152" s="1">
        <f>AVERAGEIFS(Teams[finish],Teams[year],Teams[[#This Row],[year]],Teams[division],Teams[[#This Row],[division]],Teams[college],"&lt;&gt;Div *")</f>
        <v>0.55651041666666667</v>
      </c>
      <c r="G152" s="7" cm="1">
        <f t="array" ref="G152">MOD(Teams[[#This Row],[winners]]-_xlfn.XLOOKUP(1,(Table1[year]=Teams[[#This Row],[year]])*(Table1[division]=Teams[[#This Row],[division]]),Table1[drop]),1)*1440</f>
        <v>471.37500000000006</v>
      </c>
      <c r="H152" s="7">
        <f>(_xlfn.XLOOKUP(Teams[[#This Row],[year]],Table1[year],Table1[cutoff])-Teams[[#This Row],[finish]])*1440</f>
        <v>284.99999999999994</v>
      </c>
      <c r="I152" s="6" cm="1">
        <f t="array" ref="I152">(Teams[[#This Row],[remaining]]+60)*Teams[[#This Row],[winners alt]]/_xlfn.XLOOKUP(1,(Table1[year]=Teams[[#This Row],[year]])*(Table1[division]=Teams[[#This Row],[division]]),Table1[available]) +50</f>
        <v>296.40056818181819</v>
      </c>
    </row>
    <row r="153" spans="1:9" x14ac:dyDescent="0.3">
      <c r="A153" t="s">
        <v>15</v>
      </c>
      <c r="B153">
        <v>2</v>
      </c>
      <c r="C153">
        <v>2024</v>
      </c>
      <c r="D153">
        <v>7</v>
      </c>
      <c r="E153" s="2">
        <v>0.59583333333333333</v>
      </c>
      <c r="F153" s="2">
        <f>AVERAGEIFS(Teams[finish],Teams[year],Teams[[#This Row],[year]],Teams[division],Teams[[#This Row],[division]],Teams[college],"&lt;&gt;Div *")</f>
        <v>0.54940476190476184</v>
      </c>
      <c r="G153" s="8" cm="1">
        <f t="array" ref="G153">MOD(Teams[[#This Row],[winners]]-_xlfn.XLOOKUP(1,(Table1[year]=Teams[[#This Row],[year]])*(Table1[division]=Teams[[#This Row],[division]]),Table1[drop]),1)*1440</f>
        <v>876.14285714285711</v>
      </c>
      <c r="H153" s="8">
        <f>(_xlfn.XLOOKUP(Teams[[#This Row],[year]],Table1[year],Table1[cutoff])-Teams[[#This Row],[finish]])*1440</f>
        <v>162.00000000000006</v>
      </c>
      <c r="I153" s="6" cm="1">
        <f t="array" ref="I153">(Teams[[#This Row],[remaining]]+60)*Teams[[#This Row],[winners alt]]/_xlfn.XLOOKUP(1,(Table1[year]=Teams[[#This Row],[year]])*(Table1[division]=Teams[[#This Row],[division]]),Table1[available]) +50</f>
        <v>226.02146089204916</v>
      </c>
    </row>
    <row r="154" spans="1:9" x14ac:dyDescent="0.3">
      <c r="A154" t="s">
        <v>266</v>
      </c>
      <c r="B154">
        <v>7</v>
      </c>
      <c r="C154">
        <v>2022</v>
      </c>
      <c r="D154">
        <v>8</v>
      </c>
      <c r="E154" s="1">
        <v>0.49791666666666667</v>
      </c>
      <c r="F154" s="1">
        <f>AVERAGEIFS(Teams[finish],Teams[year],Teams[[#This Row],[year]],Teams[division],Teams[[#This Row],[division]],Teams[college],"&lt;&gt;Div *")</f>
        <v>0.47932098765432102</v>
      </c>
      <c r="G154" s="7" cm="1">
        <f t="array" ref="G154">MOD(Teams[[#This Row],[winners]]-_xlfn.XLOOKUP(1,(Table1[year]=Teams[[#This Row],[year]])*(Table1[division]=Teams[[#This Row],[division]]),Table1[drop]),1)*1440</f>
        <v>345.22222222222223</v>
      </c>
      <c r="H154" s="7">
        <f>(_xlfn.XLOOKUP(Teams[[#This Row],[year]],Table1[year],Table1[cutoff])-Teams[[#This Row],[finish]])*1440</f>
        <v>273</v>
      </c>
      <c r="I154" s="6" cm="1">
        <f t="array" ref="I154">(Teams[[#This Row],[remaining]]+60)*Teams[[#This Row],[winners alt]]/_xlfn.XLOOKUP(1,(Table1[year]=Teams[[#This Row],[year]])*(Table1[division]=Teams[[#This Row],[division]]),Table1[available]) +50</f>
        <v>228.23100775193799</v>
      </c>
    </row>
    <row r="155" spans="1:9" x14ac:dyDescent="0.3">
      <c r="A155" t="s">
        <v>19</v>
      </c>
      <c r="B155">
        <v>2</v>
      </c>
      <c r="C155">
        <v>2024</v>
      </c>
      <c r="D155">
        <v>6</v>
      </c>
      <c r="E155" s="2">
        <v>0.59305555555555556</v>
      </c>
      <c r="F155" s="2">
        <f>AVERAGEIFS(Teams[finish],Teams[year],Teams[[#This Row],[year]],Teams[division],Teams[[#This Row],[division]],Teams[college],"&lt;&gt;Div *")</f>
        <v>0.54940476190476184</v>
      </c>
      <c r="G155" s="8" cm="1">
        <f t="array" ref="G155">MOD(Teams[[#This Row],[winners]]-_xlfn.XLOOKUP(1,(Table1[year]=Teams[[#This Row],[year]])*(Table1[division]=Teams[[#This Row],[division]]),Table1[drop]),1)*1440</f>
        <v>876.14285714285711</v>
      </c>
      <c r="H155" s="8">
        <f>(_xlfn.XLOOKUP(Teams[[#This Row],[year]],Table1[year],Table1[cutoff])-Teams[[#This Row],[finish]])*1440</f>
        <v>166.00000000000006</v>
      </c>
      <c r="I155" s="6" cm="1">
        <f t="array" ref="I155">(Teams[[#This Row],[remaining]]+60)*Teams[[#This Row],[winners alt]]/_xlfn.XLOOKUP(1,(Table1[year]=Teams[[#This Row],[year]])*(Table1[division]=Teams[[#This Row],[division]]),Table1[available]) +50</f>
        <v>229.19301874595996</v>
      </c>
    </row>
    <row r="156" spans="1:9" x14ac:dyDescent="0.3">
      <c r="A156" t="s">
        <v>250</v>
      </c>
      <c r="B156">
        <v>7</v>
      </c>
      <c r="C156">
        <v>2022</v>
      </c>
      <c r="D156">
        <v>7</v>
      </c>
      <c r="E156" s="1">
        <v>0.49513888888888891</v>
      </c>
      <c r="F156" s="1">
        <f>AVERAGEIFS(Teams[finish],Teams[year],Teams[[#This Row],[year]],Teams[division],Teams[[#This Row],[division]],Teams[college],"&lt;&gt;Div *")</f>
        <v>0.47932098765432102</v>
      </c>
      <c r="G156" s="7" cm="1">
        <f t="array" ref="G156">MOD(Teams[[#This Row],[winners]]-_xlfn.XLOOKUP(1,(Table1[year]=Teams[[#This Row],[year]])*(Table1[division]=Teams[[#This Row],[division]]),Table1[drop]),1)*1440</f>
        <v>345.22222222222223</v>
      </c>
      <c r="H156" s="7">
        <f>(_xlfn.XLOOKUP(Teams[[#This Row],[year]],Table1[year],Table1[cutoff])-Teams[[#This Row],[finish]])*1440</f>
        <v>277</v>
      </c>
      <c r="I156" s="6" cm="1">
        <f t="array" ref="I156">(Teams[[#This Row],[remaining]]+60)*Teams[[#This Row],[winners alt]]/_xlfn.XLOOKUP(1,(Table1[year]=Teams[[#This Row],[year]])*(Table1[division]=Teams[[#This Row],[division]]),Table1[available]) +50</f>
        <v>230.37192075796727</v>
      </c>
    </row>
    <row r="157" spans="1:9" x14ac:dyDescent="0.3">
      <c r="A157" t="s">
        <v>5</v>
      </c>
      <c r="B157">
        <v>6</v>
      </c>
      <c r="C157">
        <v>2025</v>
      </c>
      <c r="D157">
        <v>7</v>
      </c>
      <c r="E157" s="2">
        <v>0.59652777777777777</v>
      </c>
      <c r="F157" s="2">
        <f>AVERAGEIFS(Teams[finish],Teams[year],Teams[[#This Row],[year]],Teams[division],Teams[[#This Row],[division]],Teams[college],"&lt;&gt;Div *")</f>
        <v>0.57067901234567897</v>
      </c>
      <c r="G157" s="8" cm="1">
        <f t="array" ref="G157">MOD(Teams[[#This Row],[winners]]-_xlfn.XLOOKUP(1,(Table1[year]=Teams[[#This Row],[year]])*(Table1[division]=Teams[[#This Row],[division]]),Table1[drop]),1)*1440</f>
        <v>699.77777777777771</v>
      </c>
      <c r="H157" s="8">
        <f>(_xlfn.XLOOKUP(Teams[[#This Row],[year]],Table1[year],Table1[cutoff])-Teams[[#This Row],[finish]])*1440</f>
        <v>161.00000000000006</v>
      </c>
      <c r="I157" s="6" cm="1">
        <f t="array" ref="I157">(Teams[[#This Row],[remaining]]+60)*Teams[[#This Row],[winners alt]]/_xlfn.XLOOKUP(1,(Table1[year]=Teams[[#This Row],[year]])*(Table1[division]=Teams[[#This Row],[division]]),Table1[available]) +50</f>
        <v>222.21702548874043</v>
      </c>
    </row>
    <row r="158" spans="1:9" x14ac:dyDescent="0.3">
      <c r="A158" t="s">
        <v>755</v>
      </c>
      <c r="B158">
        <v>5</v>
      </c>
      <c r="C158">
        <v>2024</v>
      </c>
      <c r="D158" t="s">
        <v>735</v>
      </c>
      <c r="E158" s="1">
        <v>0.60069444444444442</v>
      </c>
      <c r="F158" s="1">
        <f>AVERAGEIFS(Teams[finish],Teams[year],Teams[[#This Row],[year]],Teams[division],Teams[[#This Row],[division]],Teams[college],"&lt;&gt;Div *")</f>
        <v>0.61149691358024683</v>
      </c>
      <c r="G158" s="7" cm="1">
        <f t="array" ref="G158">MOD(Teams[[#This Row],[winners]]-_xlfn.XLOOKUP(1,(Table1[year]=Teams[[#This Row],[year]])*(Table1[division]=Teams[[#This Row],[division]]),Table1[drop]),1)*1440</f>
        <v>691.55555555555543</v>
      </c>
      <c r="H158" s="7">
        <f>(_xlfn.XLOOKUP(Teams[[#This Row],[year]],Table1[year],Table1[cutoff])-Teams[[#This Row],[finish]])*1440</f>
        <v>155.00000000000009</v>
      </c>
      <c r="I158" s="6" cm="1">
        <f t="array" ref="I158">(Teams[[#This Row],[remaining]]+60)*Teams[[#This Row],[winners alt]]/_xlfn.XLOOKUP(1,(Table1[year]=Teams[[#This Row],[year]])*(Table1[division]=Teams[[#This Row],[division]]),Table1[available]) +50</f>
        <v>228.92231581762269</v>
      </c>
    </row>
    <row r="159" spans="1:9" x14ac:dyDescent="0.3">
      <c r="A159" t="s">
        <v>19</v>
      </c>
      <c r="B159">
        <v>5</v>
      </c>
      <c r="C159">
        <v>2025</v>
      </c>
      <c r="D159">
        <v>9</v>
      </c>
      <c r="E159" s="2">
        <v>0.5756944444444444</v>
      </c>
      <c r="F159" s="2">
        <f>AVERAGEIFS(Teams[finish],Teams[year],Teams[[#This Row],[year]],Teams[division],Teams[[#This Row],[division]],Teams[college],"&lt;&gt;Div *")</f>
        <v>0.51717171717171717</v>
      </c>
      <c r="G159" s="8" cm="1">
        <f t="array" ref="G159">MOD(Teams[[#This Row],[winners]]-_xlfn.XLOOKUP(1,(Table1[year]=Teams[[#This Row],[year]])*(Table1[division]=Teams[[#This Row],[division]]),Table1[drop]),1)*1440</f>
        <v>741.72727272727275</v>
      </c>
      <c r="H159" s="8">
        <f>(_xlfn.XLOOKUP(Teams[[#This Row],[year]],Table1[year],Table1[cutoff])-Teams[[#This Row],[finish]])*1440</f>
        <v>191.00000000000011</v>
      </c>
      <c r="I159" s="6" cm="1">
        <f t="array" ref="I159">(Teams[[#This Row],[remaining]]+60)*Teams[[#This Row],[winners alt]]/_xlfn.XLOOKUP(1,(Table1[year]=Teams[[#This Row],[year]])*(Table1[division]=Teams[[#This Row],[division]]),Table1[available]) +50</f>
        <v>233.06149995530535</v>
      </c>
    </row>
    <row r="160" spans="1:9" x14ac:dyDescent="0.3">
      <c r="A160" t="s">
        <v>754</v>
      </c>
      <c r="B160">
        <v>4</v>
      </c>
      <c r="C160">
        <v>2022</v>
      </c>
      <c r="D160" t="s">
        <v>735</v>
      </c>
      <c r="E160" s="1">
        <v>0.53819444444444442</v>
      </c>
      <c r="F160" s="1">
        <f>AVERAGEIFS(Teams[finish],Teams[year],Teams[[#This Row],[year]],Teams[division],Teams[[#This Row],[division]],Teams[college],"&lt;&gt;Div *")</f>
        <v>0.4699652777777778</v>
      </c>
      <c r="G160" s="7" cm="1">
        <f t="array" ref="G160">MOD(Teams[[#This Row],[winners]]-_xlfn.XLOOKUP(1,(Table1[year]=Teams[[#This Row],[year]])*(Table1[division]=Teams[[#This Row],[division]]),Table1[drop]),1)*1440</f>
        <v>586.75</v>
      </c>
      <c r="H160" s="7">
        <f>(_xlfn.XLOOKUP(Teams[[#This Row],[year]],Table1[year],Table1[cutoff])-Teams[[#This Row],[finish]])*1440</f>
        <v>215.00000000000003</v>
      </c>
      <c r="I160" s="6" cm="1">
        <f t="array" ref="I160">(Teams[[#This Row],[remaining]]+60)*Teams[[#This Row],[winners alt]]/_xlfn.XLOOKUP(1,(Table1[year]=Teams[[#This Row],[year]])*(Table1[division]=Teams[[#This Row],[division]]),Table1[available]) +50</f>
        <v>229.28472222222223</v>
      </c>
    </row>
    <row r="161" spans="1:9" x14ac:dyDescent="0.3">
      <c r="A161" t="s">
        <v>137</v>
      </c>
      <c r="B161">
        <v>7</v>
      </c>
      <c r="C161">
        <v>2025</v>
      </c>
      <c r="D161">
        <v>8</v>
      </c>
      <c r="E161" s="2">
        <v>0.55277777777777781</v>
      </c>
      <c r="F161" s="2">
        <f>AVERAGEIFS(Teams[finish],Teams[year],Teams[[#This Row],[year]],Teams[division],Teams[[#This Row],[division]],Teams[college],"&lt;&gt;Div *")</f>
        <v>0.53510101010101008</v>
      </c>
      <c r="G161" s="8" cm="1">
        <f t="array" ref="G161">MOD(Teams[[#This Row],[winners]]-_xlfn.XLOOKUP(1,(Table1[year]=Teams[[#This Row],[year]])*(Table1[division]=Teams[[#This Row],[division]]),Table1[drop]),1)*1440</f>
        <v>470.54545454545445</v>
      </c>
      <c r="H161" s="8">
        <f>(_xlfn.XLOOKUP(Teams[[#This Row],[year]],Table1[year],Table1[cutoff])-Teams[[#This Row],[finish]])*1440</f>
        <v>224</v>
      </c>
      <c r="I161" s="6" cm="1">
        <f t="array" ref="I161">(Teams[[#This Row],[remaining]]+60)*Teams[[#This Row],[winners alt]]/_xlfn.XLOOKUP(1,(Table1[year]=Teams[[#This Row],[year]])*(Table1[division]=Teams[[#This Row],[division]]),Table1[available]) +50</f>
        <v>235.60404040404035</v>
      </c>
    </row>
    <row r="162" spans="1:9" x14ac:dyDescent="0.3">
      <c r="A162" t="s">
        <v>5</v>
      </c>
      <c r="B162">
        <v>6</v>
      </c>
      <c r="C162">
        <v>2024</v>
      </c>
      <c r="D162">
        <v>1</v>
      </c>
      <c r="E162" s="1">
        <v>0.59722222222222221</v>
      </c>
      <c r="F162" s="1">
        <f>AVERAGEIFS(Teams[finish],Teams[year],Teams[[#This Row],[year]],Teams[division],Teams[[#This Row],[division]],Teams[college],"&lt;&gt;Div *")</f>
        <v>0.62</v>
      </c>
      <c r="G162" s="7" cm="1">
        <f t="array" ref="G162">MOD(Teams[[#This Row],[winners]]-_xlfn.XLOOKUP(1,(Table1[year]=Teams[[#This Row],[year]])*(Table1[division]=Teams[[#This Row],[division]]),Table1[drop]),1)*1440</f>
        <v>740.80000000000007</v>
      </c>
      <c r="H162" s="7">
        <f>(_xlfn.XLOOKUP(Teams[[#This Row],[year]],Table1[year],Table1[cutoff])-Teams[[#This Row],[finish]])*1440</f>
        <v>160.00000000000006</v>
      </c>
      <c r="I162" s="6" cm="1">
        <f t="array" ref="I162">(Teams[[#This Row],[remaining]]+60)*Teams[[#This Row],[winners alt]]/_xlfn.XLOOKUP(1,(Table1[year]=Teams[[#This Row],[year]])*(Table1[division]=Teams[[#This Row],[division]]),Table1[available]) +50</f>
        <v>237.76036866359451</v>
      </c>
    </row>
    <row r="163" spans="1:9" x14ac:dyDescent="0.3">
      <c r="A163" t="s">
        <v>137</v>
      </c>
      <c r="B163">
        <v>1</v>
      </c>
      <c r="C163">
        <v>2025</v>
      </c>
      <c r="D163">
        <v>5</v>
      </c>
      <c r="E163" s="2">
        <v>0.59861111111111109</v>
      </c>
      <c r="F163" s="2">
        <f>AVERAGEIFS(Teams[finish],Teams[year],Teams[[#This Row],[year]],Teams[division],Teams[[#This Row],[division]],Teams[college],"&lt;&gt;Div *")</f>
        <v>0.58533950617283947</v>
      </c>
      <c r="G163" s="8" cm="1">
        <f t="array" ref="G163">MOD(Teams[[#This Row],[winners]]-_xlfn.XLOOKUP(1,(Table1[year]=Teams[[#This Row],[year]])*(Table1[division]=Teams[[#This Row],[division]]),Table1[drop]),1)*1440</f>
        <v>1129.8888888888887</v>
      </c>
      <c r="H163" s="8">
        <f>(_xlfn.XLOOKUP(Teams[[#This Row],[year]],Table1[year],Table1[cutoff])-Teams[[#This Row],[finish]])*1440</f>
        <v>158.00000000000009</v>
      </c>
      <c r="I163" s="6" cm="1">
        <f t="array" ref="I163">(Teams[[#This Row],[remaining]]+60)*Teams[[#This Row],[winners alt]]/_xlfn.XLOOKUP(1,(Table1[year]=Teams[[#This Row],[year]])*(Table1[division]=Teams[[#This Row],[division]]),Table1[available]) +50</f>
        <v>238.45889653999834</v>
      </c>
    </row>
    <row r="164" spans="1:9" x14ac:dyDescent="0.3">
      <c r="A164" t="s">
        <v>137</v>
      </c>
      <c r="B164">
        <v>5</v>
      </c>
      <c r="C164">
        <v>2024</v>
      </c>
      <c r="D164">
        <v>3</v>
      </c>
      <c r="E164" s="2">
        <v>0.59444444444444444</v>
      </c>
      <c r="F164" s="2">
        <f>AVERAGEIFS(Teams[finish],Teams[year],Teams[[#This Row],[year]],Teams[division],Teams[[#This Row],[division]],Teams[college],"&lt;&gt;Div *")</f>
        <v>0.61149691358024683</v>
      </c>
      <c r="G164" s="8" cm="1">
        <f t="array" ref="G164">MOD(Teams[[#This Row],[winners]]-_xlfn.XLOOKUP(1,(Table1[year]=Teams[[#This Row],[year]])*(Table1[division]=Teams[[#This Row],[division]]),Table1[drop]),1)*1440</f>
        <v>691.55555555555543</v>
      </c>
      <c r="H164" s="8">
        <f>(_xlfn.XLOOKUP(Teams[[#This Row],[year]],Table1[year],Table1[cutoff])-Teams[[#This Row],[finish]])*1440</f>
        <v>164.00000000000006</v>
      </c>
      <c r="I164" s="6" cm="1">
        <f t="array" ref="I164">(Teams[[#This Row],[remaining]]+60)*Teams[[#This Row],[winners alt]]/_xlfn.XLOOKUP(1,(Table1[year]=Teams[[#This Row],[year]])*(Table1[division]=Teams[[#This Row],[division]]),Table1[available]) +50</f>
        <v>236.41208717743015</v>
      </c>
    </row>
    <row r="165" spans="1:9" x14ac:dyDescent="0.3">
      <c r="A165" t="s">
        <v>123</v>
      </c>
      <c r="B165">
        <v>6</v>
      </c>
      <c r="C165">
        <v>2023</v>
      </c>
      <c r="D165">
        <v>1</v>
      </c>
      <c r="E165" s="1">
        <v>0.55208333333333337</v>
      </c>
      <c r="F165" s="1">
        <f>AVERAGEIFS(Teams[finish],Teams[year],Teams[[#This Row],[year]],Teams[division],Teams[[#This Row],[division]],Teams[college],"&lt;&gt;Div *")</f>
        <v>0.63140432098765431</v>
      </c>
      <c r="G165" s="7" cm="1">
        <f t="array" ref="G165">MOD(Teams[[#This Row],[winners]]-_xlfn.XLOOKUP(1,(Table1[year]=Teams[[#This Row],[year]])*(Table1[division]=Teams[[#This Row],[division]]),Table1[drop]),1)*1440</f>
        <v>849.22222222222229</v>
      </c>
      <c r="H165" s="7">
        <f>(_xlfn.XLOOKUP(Teams[[#This Row],[year]],Table1[year],Table1[cutoff])-Teams[[#This Row],[finish]])*1440</f>
        <v>194.99999999999994</v>
      </c>
      <c r="I165" s="6" cm="1">
        <f t="array" ref="I165">(Teams[[#This Row],[remaining]]+60)*Teams[[#This Row],[winners alt]]/_xlfn.XLOOKUP(1,(Table1[year]=Teams[[#This Row],[year]])*(Table1[division]=Teams[[#This Row],[division]]),Table1[available]) +50</f>
        <v>282.85125448028668</v>
      </c>
    </row>
    <row r="166" spans="1:9" x14ac:dyDescent="0.3">
      <c r="A166" t="s">
        <v>15</v>
      </c>
      <c r="B166">
        <v>2</v>
      </c>
      <c r="C166">
        <v>2025</v>
      </c>
      <c r="D166">
        <v>5</v>
      </c>
      <c r="E166" s="2">
        <v>0.59027777777777779</v>
      </c>
      <c r="F166" s="2">
        <f>AVERAGEIFS(Teams[finish],Teams[year],Teams[[#This Row],[year]],Teams[division],Teams[[#This Row],[division]],Teams[college],"&lt;&gt;Div *")</f>
        <v>0.56967592592592586</v>
      </c>
      <c r="G166" s="8" cm="1">
        <f t="array" ref="G166">MOD(Teams[[#This Row],[winners]]-_xlfn.XLOOKUP(1,(Table1[year]=Teams[[#This Row],[year]])*(Table1[division]=Teams[[#This Row],[division]]),Table1[drop]),1)*1440</f>
        <v>1064.3333333333333</v>
      </c>
      <c r="H166" s="8">
        <f>(_xlfn.XLOOKUP(Teams[[#This Row],[year]],Table1[year],Table1[cutoff])-Teams[[#This Row],[finish]])*1440</f>
        <v>170.00000000000003</v>
      </c>
      <c r="I166" s="6" cm="1">
        <f t="array" ref="I166">(Teams[[#This Row],[remaining]]+60)*Teams[[#This Row],[winners alt]]/_xlfn.XLOOKUP(1,(Table1[year]=Teams[[#This Row],[year]])*(Table1[division]=Teams[[#This Row],[division]]),Table1[available]) +50</f>
        <v>243.6682489451477</v>
      </c>
    </row>
    <row r="167" spans="1:9" x14ac:dyDescent="0.3">
      <c r="A167" t="s">
        <v>5</v>
      </c>
      <c r="B167">
        <v>4</v>
      </c>
      <c r="C167">
        <v>2023</v>
      </c>
      <c r="D167">
        <v>4</v>
      </c>
      <c r="E167" s="1">
        <v>0.57708333333333328</v>
      </c>
      <c r="F167" s="1">
        <f>AVERAGEIFS(Teams[finish],Teams[year],Teams[[#This Row],[year]],Teams[division],Teams[[#This Row],[division]],Teams[college],"&lt;&gt;Div *")</f>
        <v>0.59335317460317449</v>
      </c>
      <c r="G167" s="7" cm="1">
        <f t="array" ref="G167">MOD(Teams[[#This Row],[winners]]-_xlfn.XLOOKUP(1,(Table1[year]=Teams[[#This Row],[year]])*(Table1[division]=Teams[[#This Row],[division]]),Table1[drop]),1)*1440</f>
        <v>944.42857142857122</v>
      </c>
      <c r="H167" s="7">
        <f>(_xlfn.XLOOKUP(Teams[[#This Row],[year]],Table1[year],Table1[cutoff])-Teams[[#This Row],[finish]])*1440</f>
        <v>159.00000000000009</v>
      </c>
      <c r="I167" s="6" cm="1">
        <f t="array" ref="I167">(Teams[[#This Row],[remaining]]+60)*Teams[[#This Row],[winners alt]]/_xlfn.XLOOKUP(1,(Table1[year]=Teams[[#This Row],[year]])*(Table1[division]=Teams[[#This Row],[division]]),Table1[available]) +50</f>
        <v>241.50912698412702</v>
      </c>
    </row>
    <row r="168" spans="1:9" x14ac:dyDescent="0.3">
      <c r="A168" t="s">
        <v>241</v>
      </c>
      <c r="B168">
        <v>4</v>
      </c>
      <c r="C168">
        <v>2025</v>
      </c>
      <c r="D168">
        <v>4</v>
      </c>
      <c r="E168" s="2">
        <v>0.59652777777777777</v>
      </c>
      <c r="F168" s="2">
        <f>AVERAGEIFS(Teams[finish],Teams[year],Teams[[#This Row],[year]],Teams[division],Teams[[#This Row],[division]],Teams[college],"&lt;&gt;Div *")</f>
        <v>0.61206597222222225</v>
      </c>
      <c r="G168" s="8" cm="1">
        <f t="array" ref="G168">MOD(Teams[[#This Row],[winners]]-_xlfn.XLOOKUP(1,(Table1[year]=Teams[[#This Row],[year]])*(Table1[division]=Teams[[#This Row],[division]]),Table1[drop]),1)*1440</f>
        <v>933.375</v>
      </c>
      <c r="H168" s="8">
        <f>(_xlfn.XLOOKUP(Teams[[#This Row],[year]],Table1[year],Table1[cutoff])-Teams[[#This Row],[finish]])*1440</f>
        <v>161.00000000000006</v>
      </c>
      <c r="I168" s="6" cm="1">
        <f t="array" ref="I168">(Teams[[#This Row],[remaining]]+60)*Teams[[#This Row],[winners alt]]/_xlfn.XLOOKUP(1,(Table1[year]=Teams[[#This Row],[year]])*(Table1[division]=Teams[[#This Row],[division]]),Table1[available]) +50</f>
        <v>242.42152518656721</v>
      </c>
    </row>
    <row r="169" spans="1:9" x14ac:dyDescent="0.3">
      <c r="A169" t="s">
        <v>48</v>
      </c>
      <c r="B169">
        <v>7</v>
      </c>
      <c r="C169">
        <v>2023</v>
      </c>
      <c r="D169">
        <v>4</v>
      </c>
      <c r="E169" s="2">
        <v>0.55972222222222223</v>
      </c>
      <c r="F169" s="2">
        <f>AVERAGEIFS(Teams[finish],Teams[year],Teams[[#This Row],[year]],Teams[division],Teams[[#This Row],[division]],Teams[college],"&lt;&gt;Div *")</f>
        <v>0.57826388888888891</v>
      </c>
      <c r="G169" s="8" cm="1">
        <f t="array" ref="G169">MOD(Teams[[#This Row],[winners]]-_xlfn.XLOOKUP(1,(Table1[year]=Teams[[#This Row],[year]])*(Table1[division]=Teams[[#This Row],[division]]),Table1[drop]),1)*1440</f>
        <v>620.69999999999993</v>
      </c>
      <c r="H169" s="8">
        <f>(_xlfn.XLOOKUP(Teams[[#This Row],[year]],Table1[year],Table1[cutoff])-Teams[[#This Row],[finish]])*1440</f>
        <v>184</v>
      </c>
      <c r="I169" s="6" cm="1">
        <f t="array" ref="I169">(Teams[[#This Row],[remaining]]+60)*Teams[[#This Row],[winners alt]]/_xlfn.XLOOKUP(1,(Table1[year]=Teams[[#This Row],[year]])*(Table1[division]=Teams[[#This Row],[division]]),Table1[available]) +50</f>
        <v>244.66683804627249</v>
      </c>
    </row>
    <row r="170" spans="1:9" x14ac:dyDescent="0.3">
      <c r="A170" t="s">
        <v>10</v>
      </c>
      <c r="B170">
        <v>2</v>
      </c>
      <c r="C170">
        <v>2024</v>
      </c>
      <c r="D170">
        <v>5</v>
      </c>
      <c r="E170" s="2">
        <v>0.57916666666666672</v>
      </c>
      <c r="F170" s="2">
        <f>AVERAGEIFS(Teams[finish],Teams[year],Teams[[#This Row],[year]],Teams[division],Teams[[#This Row],[division]],Teams[college],"&lt;&gt;Div *")</f>
        <v>0.54940476190476184</v>
      </c>
      <c r="G170" s="8" cm="1">
        <f t="array" ref="G170">MOD(Teams[[#This Row],[winners]]-_xlfn.XLOOKUP(1,(Table1[year]=Teams[[#This Row],[year]])*(Table1[division]=Teams[[#This Row],[division]]),Table1[drop]),1)*1440</f>
        <v>876.14285714285711</v>
      </c>
      <c r="H170" s="8">
        <f>(_xlfn.XLOOKUP(Teams[[#This Row],[year]],Table1[year],Table1[cutoff])-Teams[[#This Row],[finish]])*1440</f>
        <v>185.99999999999997</v>
      </c>
      <c r="I170" s="6" cm="1">
        <f t="array" ref="I170">(Teams[[#This Row],[remaining]]+60)*Teams[[#This Row],[winners alt]]/_xlfn.XLOOKUP(1,(Table1[year]=Teams[[#This Row],[year]])*(Table1[division]=Teams[[#This Row],[division]]),Table1[available]) +50</f>
        <v>245.05080801551387</v>
      </c>
    </row>
    <row r="171" spans="1:9" x14ac:dyDescent="0.3">
      <c r="A171" t="s">
        <v>10</v>
      </c>
      <c r="B171">
        <v>7</v>
      </c>
      <c r="C171">
        <v>2022</v>
      </c>
      <c r="D171">
        <v>6</v>
      </c>
      <c r="E171" s="1">
        <v>0.47499999999999998</v>
      </c>
      <c r="F171" s="1">
        <f>AVERAGEIFS(Teams[finish],Teams[year],Teams[[#This Row],[year]],Teams[division],Teams[[#This Row],[division]],Teams[college],"&lt;&gt;Div *")</f>
        <v>0.47932098765432102</v>
      </c>
      <c r="G171" s="7" cm="1">
        <f t="array" ref="G171">MOD(Teams[[#This Row],[winners]]-_xlfn.XLOOKUP(1,(Table1[year]=Teams[[#This Row],[year]])*(Table1[division]=Teams[[#This Row],[division]]),Table1[drop]),1)*1440</f>
        <v>345.22222222222223</v>
      </c>
      <c r="H171" s="7">
        <f>(_xlfn.XLOOKUP(Teams[[#This Row],[year]],Table1[year],Table1[cutoff])-Teams[[#This Row],[finish]])*1440</f>
        <v>306.00000000000006</v>
      </c>
      <c r="I171" s="6" cm="1">
        <f t="array" ref="I171">(Teams[[#This Row],[remaining]]+60)*Teams[[#This Row],[winners alt]]/_xlfn.XLOOKUP(1,(Table1[year]=Teams[[#This Row],[year]])*(Table1[division]=Teams[[#This Row],[division]]),Table1[available]) +50</f>
        <v>245.89354005167962</v>
      </c>
    </row>
    <row r="172" spans="1:9" x14ac:dyDescent="0.3">
      <c r="A172" t="s">
        <v>137</v>
      </c>
      <c r="B172">
        <v>4</v>
      </c>
      <c r="C172">
        <v>2025</v>
      </c>
      <c r="D172">
        <v>3</v>
      </c>
      <c r="E172" s="2">
        <v>0.59236111111111112</v>
      </c>
      <c r="F172" s="2">
        <f>AVERAGEIFS(Teams[finish],Teams[year],Teams[[#This Row],[year]],Teams[division],Teams[[#This Row],[division]],Teams[college],"&lt;&gt;Div *")</f>
        <v>0.61206597222222225</v>
      </c>
      <c r="G172" s="8" cm="1">
        <f t="array" ref="G172">MOD(Teams[[#This Row],[winners]]-_xlfn.XLOOKUP(1,(Table1[year]=Teams[[#This Row],[year]])*(Table1[division]=Teams[[#This Row],[division]]),Table1[drop]),1)*1440</f>
        <v>933.375</v>
      </c>
      <c r="H172" s="8">
        <f>(_xlfn.XLOOKUP(Teams[[#This Row],[year]],Table1[year],Table1[cutoff])-Teams[[#This Row],[finish]])*1440</f>
        <v>167.00000000000006</v>
      </c>
      <c r="I172" s="6" cm="1">
        <f t="array" ref="I172">(Teams[[#This Row],[remaining]]+60)*Teams[[#This Row],[winners alt]]/_xlfn.XLOOKUP(1,(Table1[year]=Teams[[#This Row],[year]])*(Table1[division]=Teams[[#This Row],[division]]),Table1[available]) +50</f>
        <v>247.64563899253736</v>
      </c>
    </row>
    <row r="173" spans="1:9" x14ac:dyDescent="0.3">
      <c r="A173" t="s">
        <v>123</v>
      </c>
      <c r="B173">
        <v>7</v>
      </c>
      <c r="C173">
        <v>2022</v>
      </c>
      <c r="D173">
        <v>3</v>
      </c>
      <c r="E173" s="1">
        <v>0.45763888888888893</v>
      </c>
      <c r="F173" s="1">
        <f>AVERAGEIFS(Teams[finish],Teams[year],Teams[[#This Row],[year]],Teams[division],Teams[[#This Row],[division]],Teams[college],"&lt;&gt;Div *")</f>
        <v>0.47932098765432102</v>
      </c>
      <c r="G173" s="7" cm="1">
        <f t="array" ref="G173">MOD(Teams[[#This Row],[winners]]-_xlfn.XLOOKUP(1,(Table1[year]=Teams[[#This Row],[year]])*(Table1[division]=Teams[[#This Row],[division]]),Table1[drop]),1)*1440</f>
        <v>345.22222222222223</v>
      </c>
      <c r="H173" s="7">
        <f>(_xlfn.XLOOKUP(Teams[[#This Row],[year]],Table1[year],Table1[cutoff])-Teams[[#This Row],[finish]])*1440</f>
        <v>330.99999999999994</v>
      </c>
      <c r="I173" s="6" cm="1">
        <f t="array" ref="I173">(Teams[[#This Row],[remaining]]+60)*Teams[[#This Row],[winners alt]]/_xlfn.XLOOKUP(1,(Table1[year]=Teams[[#This Row],[year]])*(Table1[division]=Teams[[#This Row],[division]]),Table1[available]) +50</f>
        <v>259.27424633936261</v>
      </c>
    </row>
    <row r="174" spans="1:9" x14ac:dyDescent="0.3">
      <c r="A174" t="s">
        <v>10</v>
      </c>
      <c r="B174">
        <v>4</v>
      </c>
      <c r="C174">
        <v>2023</v>
      </c>
      <c r="D174">
        <v>3</v>
      </c>
      <c r="E174" s="1">
        <v>0.56944444444444442</v>
      </c>
      <c r="F174" s="1">
        <f>AVERAGEIFS(Teams[finish],Teams[year],Teams[[#This Row],[year]],Teams[division],Teams[[#This Row],[division]],Teams[college],"&lt;&gt;Div *")</f>
        <v>0.59335317460317449</v>
      </c>
      <c r="G174" s="7" cm="1">
        <f t="array" ref="G174">MOD(Teams[[#This Row],[winners]]-_xlfn.XLOOKUP(1,(Table1[year]=Teams[[#This Row],[year]])*(Table1[division]=Teams[[#This Row],[division]]),Table1[drop]),1)*1440</f>
        <v>944.42857142857122</v>
      </c>
      <c r="H174" s="7">
        <f>(_xlfn.XLOOKUP(Teams[[#This Row],[year]],Table1[year],Table1[cutoff])-Teams[[#This Row],[finish]])*1440</f>
        <v>170.00000000000003</v>
      </c>
      <c r="I174" s="6" cm="1">
        <f t="array" ref="I174">(Teams[[#This Row],[remaining]]+60)*Teams[[#This Row],[winners alt]]/_xlfn.XLOOKUP(1,(Table1[year]=Teams[[#This Row],[year]])*(Table1[division]=Teams[[#This Row],[division]]),Table1[available]) +50</f>
        <v>251.12830687830686</v>
      </c>
    </row>
    <row r="175" spans="1:9" x14ac:dyDescent="0.3">
      <c r="A175" t="s">
        <v>137</v>
      </c>
      <c r="B175">
        <v>7</v>
      </c>
      <c r="C175">
        <v>2023</v>
      </c>
      <c r="D175">
        <v>3</v>
      </c>
      <c r="E175" s="2">
        <v>0.55347222222222225</v>
      </c>
      <c r="F175" s="2">
        <f>AVERAGEIFS(Teams[finish],Teams[year],Teams[[#This Row],[year]],Teams[division],Teams[[#This Row],[division]],Teams[college],"&lt;&gt;Div *")</f>
        <v>0.57826388888888891</v>
      </c>
      <c r="G175" s="8" cm="1">
        <f t="array" ref="G175">MOD(Teams[[#This Row],[winners]]-_xlfn.XLOOKUP(1,(Table1[year]=Teams[[#This Row],[year]])*(Table1[division]=Teams[[#This Row],[division]]),Table1[drop]),1)*1440</f>
        <v>620.69999999999993</v>
      </c>
      <c r="H175" s="8">
        <f>(_xlfn.XLOOKUP(Teams[[#This Row],[year]],Table1[year],Table1[cutoff])-Teams[[#This Row],[finish]])*1440</f>
        <v>192.99999999999994</v>
      </c>
      <c r="I175" s="6" cm="1">
        <f t="array" ref="I175">(Teams[[#This Row],[remaining]]+60)*Teams[[#This Row],[winners alt]]/_xlfn.XLOOKUP(1,(Table1[year]=Teams[[#This Row],[year]])*(Table1[division]=Teams[[#This Row],[division]]),Table1[available]) +50</f>
        <v>251.84717223650378</v>
      </c>
    </row>
    <row r="176" spans="1:9" x14ac:dyDescent="0.3">
      <c r="A176" t="s">
        <v>15</v>
      </c>
      <c r="B176">
        <v>7</v>
      </c>
      <c r="C176">
        <v>2022</v>
      </c>
      <c r="D176">
        <v>5</v>
      </c>
      <c r="E176" s="1">
        <v>0.46388888888888891</v>
      </c>
      <c r="F176" s="1">
        <f>AVERAGEIFS(Teams[finish],Teams[year],Teams[[#This Row],[year]],Teams[division],Teams[[#This Row],[division]],Teams[college],"&lt;&gt;Div *")</f>
        <v>0.47932098765432102</v>
      </c>
      <c r="G176" s="7" cm="1">
        <f t="array" ref="G176">MOD(Teams[[#This Row],[winners]]-_xlfn.XLOOKUP(1,(Table1[year]=Teams[[#This Row],[year]])*(Table1[division]=Teams[[#This Row],[division]]),Table1[drop]),1)*1440</f>
        <v>345.22222222222223</v>
      </c>
      <c r="H176" s="7">
        <f>(_xlfn.XLOOKUP(Teams[[#This Row],[year]],Table1[year],Table1[cutoff])-Teams[[#This Row],[finish]])*1440</f>
        <v>322</v>
      </c>
      <c r="I176" s="6" cm="1">
        <f t="array" ref="I176">(Teams[[#This Row],[remaining]]+60)*Teams[[#This Row],[winners alt]]/_xlfn.XLOOKUP(1,(Table1[year]=Teams[[#This Row],[year]])*(Table1[division]=Teams[[#This Row],[division]]),Table1[available]) +50</f>
        <v>254.45719207579674</v>
      </c>
    </row>
    <row r="177" spans="1:9" x14ac:dyDescent="0.3">
      <c r="A177" t="s">
        <v>10</v>
      </c>
      <c r="B177">
        <v>5</v>
      </c>
      <c r="C177">
        <v>2022</v>
      </c>
      <c r="D177">
        <v>5</v>
      </c>
      <c r="E177" s="1">
        <v>0.53333333333333333</v>
      </c>
      <c r="F177" s="1">
        <f>AVERAGEIFS(Teams[finish],Teams[year],Teams[[#This Row],[year]],Teams[division],Teams[[#This Row],[division]],Teams[college],"&lt;&gt;Div *")</f>
        <v>0.54583333333333328</v>
      </c>
      <c r="G177" s="7" cm="1">
        <f t="array" ref="G177">MOD(Teams[[#This Row],[winners]]-_xlfn.XLOOKUP(1,(Table1[year]=Teams[[#This Row],[year]])*(Table1[division]=Teams[[#This Row],[division]]),Table1[drop]),1)*1440</f>
        <v>546</v>
      </c>
      <c r="H177" s="7">
        <f>(_xlfn.XLOOKUP(Teams[[#This Row],[year]],Table1[year],Table1[cutoff])-Teams[[#This Row],[finish]])*1440</f>
        <v>222</v>
      </c>
      <c r="I177" s="6" cm="1">
        <f t="array" ref="I177">(Teams[[#This Row],[remaining]]+60)*Teams[[#This Row],[winners alt]]/_xlfn.XLOOKUP(1,(Table1[year]=Teams[[#This Row],[year]])*(Table1[division]=Teams[[#This Row],[division]]),Table1[available]) +50</f>
        <v>255.29599999999999</v>
      </c>
    </row>
    <row r="178" spans="1:9" x14ac:dyDescent="0.3">
      <c r="A178" t="s">
        <v>250</v>
      </c>
      <c r="B178">
        <v>6</v>
      </c>
      <c r="C178">
        <v>2022</v>
      </c>
      <c r="D178">
        <v>5</v>
      </c>
      <c r="E178" s="1">
        <v>0.52847222222222223</v>
      </c>
      <c r="F178" s="1">
        <f>AVERAGEIFS(Teams[finish],Teams[year],Teams[[#This Row],[year]],Teams[division],Teams[[#This Row],[division]],Teams[college],"&lt;&gt;Div *")</f>
        <v>0.55651041666666667</v>
      </c>
      <c r="G178" s="7" cm="1">
        <f t="array" ref="G178">MOD(Teams[[#This Row],[winners]]-_xlfn.XLOOKUP(1,(Table1[year]=Teams[[#This Row],[year]])*(Table1[division]=Teams[[#This Row],[division]]),Table1[drop]),1)*1440</f>
        <v>471.37500000000006</v>
      </c>
      <c r="H178" s="7">
        <f>(_xlfn.XLOOKUP(Teams[[#This Row],[year]],Table1[year],Table1[cutoff])-Teams[[#This Row],[finish]])*1440</f>
        <v>229</v>
      </c>
      <c r="I178" s="6" cm="1">
        <f t="array" ref="I178">(Teams[[#This Row],[remaining]]+60)*Teams[[#This Row],[winners alt]]/_xlfn.XLOOKUP(1,(Table1[year]=Teams[[#This Row],[year]])*(Table1[division]=Teams[[#This Row],[division]]),Table1[available]) +50</f>
        <v>256.40511363636369</v>
      </c>
    </row>
    <row r="179" spans="1:9" x14ac:dyDescent="0.3">
      <c r="A179" t="s">
        <v>19</v>
      </c>
      <c r="B179">
        <v>7</v>
      </c>
      <c r="C179">
        <v>2022</v>
      </c>
      <c r="D179">
        <v>4</v>
      </c>
      <c r="E179" s="1">
        <v>0.45972222222222225</v>
      </c>
      <c r="F179" s="1">
        <f>AVERAGEIFS(Teams[finish],Teams[year],Teams[[#This Row],[year]],Teams[division],Teams[[#This Row],[division]],Teams[college],"&lt;&gt;Div *")</f>
        <v>0.47932098765432102</v>
      </c>
      <c r="G179" s="7" cm="1">
        <f t="array" ref="G179">MOD(Teams[[#This Row],[winners]]-_xlfn.XLOOKUP(1,(Table1[year]=Teams[[#This Row],[year]])*(Table1[division]=Teams[[#This Row],[division]]),Table1[drop]),1)*1440</f>
        <v>345.22222222222223</v>
      </c>
      <c r="H179" s="7">
        <f>(_xlfn.XLOOKUP(Teams[[#This Row],[year]],Table1[year],Table1[cutoff])-Teams[[#This Row],[finish]])*1440</f>
        <v>327.99999999999994</v>
      </c>
      <c r="I179" s="6" cm="1">
        <f t="array" ref="I179">(Teams[[#This Row],[remaining]]+60)*Teams[[#This Row],[winners alt]]/_xlfn.XLOOKUP(1,(Table1[year]=Teams[[#This Row],[year]])*(Table1[division]=Teams[[#This Row],[division]]),Table1[available]) +50</f>
        <v>257.66856158484063</v>
      </c>
    </row>
    <row r="180" spans="1:9" x14ac:dyDescent="0.3">
      <c r="A180" t="s">
        <v>123</v>
      </c>
      <c r="B180">
        <v>1</v>
      </c>
      <c r="C180">
        <v>2022</v>
      </c>
      <c r="D180">
        <v>3</v>
      </c>
      <c r="E180" s="1">
        <v>0.55069444444444449</v>
      </c>
      <c r="F180" s="1">
        <f>AVERAGEIFS(Teams[finish],Teams[year],Teams[[#This Row],[year]],Teams[division],Teams[[#This Row],[division]],Teams[college],"&lt;&gt;Div *")</f>
        <v>0.52309027777777772</v>
      </c>
      <c r="G180" s="7" cm="1">
        <f t="array" ref="G180">MOD(Teams[[#This Row],[winners]]-_xlfn.XLOOKUP(1,(Table1[year]=Teams[[#This Row],[year]])*(Table1[division]=Teams[[#This Row],[division]]),Table1[drop]),1)*1440</f>
        <v>811.24999999999989</v>
      </c>
      <c r="H180" s="7">
        <f>(_xlfn.XLOOKUP(Teams[[#This Row],[year]],Table1[year],Table1[cutoff])-Teams[[#This Row],[finish]])*1440</f>
        <v>196.99999999999994</v>
      </c>
      <c r="I180" s="6" cm="1">
        <f t="array" ref="I180">(Teams[[#This Row],[remaining]]+60)*Teams[[#This Row],[winners alt]]/_xlfn.XLOOKUP(1,(Table1[year]=Teams[[#This Row],[year]])*(Table1[division]=Teams[[#This Row],[division]]),Table1[available]) +50</f>
        <v>248.942032442748</v>
      </c>
    </row>
    <row r="181" spans="1:9" x14ac:dyDescent="0.3">
      <c r="A181" t="s">
        <v>755</v>
      </c>
      <c r="B181">
        <v>2</v>
      </c>
      <c r="C181">
        <v>2025</v>
      </c>
      <c r="D181" t="s">
        <v>735</v>
      </c>
      <c r="E181" s="1">
        <v>0.57499999999999996</v>
      </c>
      <c r="F181" s="1">
        <f>AVERAGEIFS(Teams[finish],Teams[year],Teams[[#This Row],[year]],Teams[division],Teams[[#This Row],[division]],Teams[college],"&lt;&gt;Div *")</f>
        <v>0.56967592592592586</v>
      </c>
      <c r="G181" s="7" cm="1">
        <f t="array" ref="G181">MOD(Teams[[#This Row],[winners]]-_xlfn.XLOOKUP(1,(Table1[year]=Teams[[#This Row],[year]])*(Table1[division]=Teams[[#This Row],[division]]),Table1[drop]),1)*1440</f>
        <v>1064.3333333333333</v>
      </c>
      <c r="H181" s="7">
        <f>(_xlfn.XLOOKUP(Teams[[#This Row],[year]],Table1[year],Table1[cutoff])-Teams[[#This Row],[finish]])*1440</f>
        <v>192.00000000000011</v>
      </c>
      <c r="I181" s="6" cm="1">
        <f t="array" ref="I181">(Teams[[#This Row],[remaining]]+60)*Teams[[#This Row],[winners alt]]/_xlfn.XLOOKUP(1,(Table1[year]=Teams[[#This Row],[year]])*(Table1[division]=Teams[[#This Row],[division]]),Table1[available]) +50</f>
        <v>262.19303797468365</v>
      </c>
    </row>
    <row r="182" spans="1:9" x14ac:dyDescent="0.3">
      <c r="A182" t="s">
        <v>250</v>
      </c>
      <c r="B182">
        <v>5</v>
      </c>
      <c r="C182">
        <v>2022</v>
      </c>
      <c r="D182">
        <v>4</v>
      </c>
      <c r="E182" s="1">
        <v>0.52847222222222223</v>
      </c>
      <c r="F182" s="1">
        <f>AVERAGEIFS(Teams[finish],Teams[year],Teams[[#This Row],[year]],Teams[division],Teams[[#This Row],[division]],Teams[college],"&lt;&gt;Div *")</f>
        <v>0.54583333333333328</v>
      </c>
      <c r="G182" s="7" cm="1">
        <f t="array" ref="G182">MOD(Teams[[#This Row],[winners]]-_xlfn.XLOOKUP(1,(Table1[year]=Teams[[#This Row],[year]])*(Table1[division]=Teams[[#This Row],[division]]),Table1[drop]),1)*1440</f>
        <v>546</v>
      </c>
      <c r="H182" s="7">
        <f>(_xlfn.XLOOKUP(Teams[[#This Row],[year]],Table1[year],Table1[cutoff])-Teams[[#This Row],[finish]])*1440</f>
        <v>229</v>
      </c>
      <c r="I182" s="6" cm="1">
        <f t="array" ref="I182">(Teams[[#This Row],[remaining]]+60)*Teams[[#This Row],[winners alt]]/_xlfn.XLOOKUP(1,(Table1[year]=Teams[[#This Row],[year]])*(Table1[division]=Teams[[#This Row],[division]]),Table1[available]) +50</f>
        <v>260.392</v>
      </c>
    </row>
    <row r="183" spans="1:9" x14ac:dyDescent="0.3">
      <c r="A183" t="s">
        <v>754</v>
      </c>
      <c r="B183">
        <v>2</v>
      </c>
      <c r="C183">
        <v>2023</v>
      </c>
      <c r="D183" t="s">
        <v>735</v>
      </c>
      <c r="E183" s="1">
        <v>0.5541666666666667</v>
      </c>
      <c r="F183" s="1">
        <f>AVERAGEIFS(Teams[finish],Teams[year],Teams[[#This Row],[year]],Teams[division],Teams[[#This Row],[division]],Teams[college],"&lt;&gt;Div *")</f>
        <v>0.54902777777777767</v>
      </c>
      <c r="G183" s="7" cm="1">
        <f t="array" ref="G183">MOD(Teams[[#This Row],[winners]]-_xlfn.XLOOKUP(1,(Table1[year]=Teams[[#This Row],[year]])*(Table1[division]=Teams[[#This Row],[division]]),Table1[drop]),1)*1440</f>
        <v>1030.5999999999997</v>
      </c>
      <c r="H183" s="7">
        <f>(_xlfn.XLOOKUP(Teams[[#This Row],[year]],Table1[year],Table1[cutoff])-Teams[[#This Row],[finish]])*1440</f>
        <v>191.99999999999994</v>
      </c>
      <c r="I183" s="6" cm="1">
        <f t="array" ref="I183">(Teams[[#This Row],[remaining]]+60)*Teams[[#This Row],[winners alt]]/_xlfn.XLOOKUP(1,(Table1[year]=Teams[[#This Row],[year]])*(Table1[division]=Teams[[#This Row],[division]]),Table1[available]) +50</f>
        <v>261.1473170731706</v>
      </c>
    </row>
    <row r="184" spans="1:9" x14ac:dyDescent="0.3">
      <c r="A184" t="s">
        <v>132</v>
      </c>
      <c r="B184">
        <v>7</v>
      </c>
      <c r="C184">
        <v>2022</v>
      </c>
      <c r="D184">
        <v>2</v>
      </c>
      <c r="E184" s="1">
        <v>0.45486111111111116</v>
      </c>
      <c r="F184" s="1">
        <f>AVERAGEIFS(Teams[finish],Teams[year],Teams[[#This Row],[year]],Teams[division],Teams[[#This Row],[division]],Teams[college],"&lt;&gt;Div *")</f>
        <v>0.47932098765432102</v>
      </c>
      <c r="G184" s="7" cm="1">
        <f t="array" ref="G184">MOD(Teams[[#This Row],[winners]]-_xlfn.XLOOKUP(1,(Table1[year]=Teams[[#This Row],[year]])*(Table1[division]=Teams[[#This Row],[division]]),Table1[drop]),1)*1440</f>
        <v>345.22222222222223</v>
      </c>
      <c r="H184" s="7">
        <f>(_xlfn.XLOOKUP(Teams[[#This Row],[year]],Table1[year],Table1[cutoff])-Teams[[#This Row],[finish]])*1440</f>
        <v>334.99999999999994</v>
      </c>
      <c r="I184" s="6" cm="1">
        <f t="array" ref="I184">(Teams[[#This Row],[remaining]]+60)*Teams[[#This Row],[winners alt]]/_xlfn.XLOOKUP(1,(Table1[year]=Teams[[#This Row],[year]])*(Table1[division]=Teams[[#This Row],[division]]),Table1[available]) +50</f>
        <v>261.41515934539188</v>
      </c>
    </row>
    <row r="185" spans="1:9" x14ac:dyDescent="0.3">
      <c r="A185" t="s">
        <v>19</v>
      </c>
      <c r="B185">
        <v>3</v>
      </c>
      <c r="C185">
        <v>2022</v>
      </c>
      <c r="D185">
        <v>4</v>
      </c>
      <c r="E185" s="1">
        <v>0.51180555555555562</v>
      </c>
      <c r="F185" s="1">
        <f>AVERAGEIFS(Teams[finish],Teams[year],Teams[[#This Row],[year]],Teams[division],Teams[[#This Row],[division]],Teams[college],"&lt;&gt;Div *")</f>
        <v>0.4851388888888889</v>
      </c>
      <c r="G185" s="7" cm="1">
        <f t="array" ref="G185">MOD(Teams[[#This Row],[winners]]-_xlfn.XLOOKUP(1,(Table1[year]=Teams[[#This Row],[year]])*(Table1[division]=Teams[[#This Row],[division]]),Table1[drop]),1)*1440</f>
        <v>608.6</v>
      </c>
      <c r="H185" s="7">
        <f>(_xlfn.XLOOKUP(Teams[[#This Row],[year]],Table1[year],Table1[cutoff])-Teams[[#This Row],[finish]])*1440</f>
        <v>252.99999999999989</v>
      </c>
      <c r="I185" s="6" cm="1">
        <f t="array" ref="I185">(Teams[[#This Row],[remaining]]+60)*Teams[[#This Row],[winners alt]]/_xlfn.XLOOKUP(1,(Table1[year]=Teams[[#This Row],[year]])*(Table1[division]=Teams[[#This Row],[division]]),Table1[available]) +50</f>
        <v>261.65755555555552</v>
      </c>
    </row>
    <row r="186" spans="1:9" x14ac:dyDescent="0.3">
      <c r="A186" t="s">
        <v>137</v>
      </c>
      <c r="B186">
        <v>6</v>
      </c>
      <c r="C186">
        <v>2025</v>
      </c>
      <c r="D186">
        <v>6</v>
      </c>
      <c r="E186" s="2">
        <v>0.56944444444444442</v>
      </c>
      <c r="F186" s="2">
        <f>AVERAGEIFS(Teams[finish],Teams[year],Teams[[#This Row],[year]],Teams[division],Teams[[#This Row],[division]],Teams[college],"&lt;&gt;Div *")</f>
        <v>0.57067901234567897</v>
      </c>
      <c r="G186" s="8" cm="1">
        <f t="array" ref="G186">MOD(Teams[[#This Row],[winners]]-_xlfn.XLOOKUP(1,(Table1[year]=Teams[[#This Row],[year]])*(Table1[division]=Teams[[#This Row],[division]]),Table1[drop]),1)*1440</f>
        <v>699.77777777777771</v>
      </c>
      <c r="H186" s="8">
        <f>(_xlfn.XLOOKUP(Teams[[#This Row],[year]],Table1[year],Table1[cutoff])-Teams[[#This Row],[finish]])*1440</f>
        <v>200.00000000000009</v>
      </c>
      <c r="I186" s="6" cm="1">
        <f t="array" ref="I186">(Teams[[#This Row],[remaining]]+60)*Teams[[#This Row],[winners alt]]/_xlfn.XLOOKUP(1,(Table1[year]=Teams[[#This Row],[year]])*(Table1[division]=Teams[[#This Row],[division]]),Table1[available]) +50</f>
        <v>252.60826528087114</v>
      </c>
    </row>
    <row r="187" spans="1:9" x14ac:dyDescent="0.3">
      <c r="A187" t="s">
        <v>48</v>
      </c>
      <c r="B187">
        <v>5</v>
      </c>
      <c r="C187">
        <v>2024</v>
      </c>
      <c r="D187">
        <v>2</v>
      </c>
      <c r="E187" s="2">
        <v>0.57361111111111107</v>
      </c>
      <c r="F187" s="2">
        <f>AVERAGEIFS(Teams[finish],Teams[year],Teams[[#This Row],[year]],Teams[division],Teams[[#This Row],[division]],Teams[college],"&lt;&gt;Div *")</f>
        <v>0.61149691358024683</v>
      </c>
      <c r="G187" s="8" cm="1">
        <f t="array" ref="G187">MOD(Teams[[#This Row],[winners]]-_xlfn.XLOOKUP(1,(Table1[year]=Teams[[#This Row],[year]])*(Table1[division]=Teams[[#This Row],[division]]),Table1[drop]),1)*1440</f>
        <v>691.55555555555543</v>
      </c>
      <c r="H187" s="8">
        <f>(_xlfn.XLOOKUP(Teams[[#This Row],[year]],Table1[year],Table1[cutoff])-Teams[[#This Row],[finish]])*1440</f>
        <v>194.00000000000011</v>
      </c>
      <c r="I187" s="6" cm="1">
        <f t="array" ref="I187">(Teams[[#This Row],[remaining]]+60)*Teams[[#This Row],[winners alt]]/_xlfn.XLOOKUP(1,(Table1[year]=Teams[[#This Row],[year]])*(Table1[division]=Teams[[#This Row],[division]]),Table1[available]) +50</f>
        <v>261.37799171012171</v>
      </c>
    </row>
    <row r="188" spans="1:9" x14ac:dyDescent="0.3">
      <c r="A188" t="s">
        <v>250</v>
      </c>
      <c r="B188">
        <v>5</v>
      </c>
      <c r="C188">
        <v>2025</v>
      </c>
      <c r="D188">
        <v>8</v>
      </c>
      <c r="E188" s="2">
        <v>0.54652777777777772</v>
      </c>
      <c r="F188" s="2">
        <f>AVERAGEIFS(Teams[finish],Teams[year],Teams[[#This Row],[year]],Teams[division],Teams[[#This Row],[division]],Teams[college],"&lt;&gt;Div *")</f>
        <v>0.51717171717171717</v>
      </c>
      <c r="G188" s="8" cm="1">
        <f t="array" ref="G188">MOD(Teams[[#This Row],[winners]]-_xlfn.XLOOKUP(1,(Table1[year]=Teams[[#This Row],[year]])*(Table1[division]=Teams[[#This Row],[division]]),Table1[drop]),1)*1440</f>
        <v>741.72727272727275</v>
      </c>
      <c r="H188" s="8">
        <f>(_xlfn.XLOOKUP(Teams[[#This Row],[year]],Table1[year],Table1[cutoff])-Teams[[#This Row],[finish]])*1440</f>
        <v>233.00000000000014</v>
      </c>
      <c r="I188" s="6" cm="1">
        <f t="array" ref="I188">(Teams[[#This Row],[remaining]]+60)*Teams[[#This Row],[winners alt]]/_xlfn.XLOOKUP(1,(Table1[year]=Teams[[#This Row],[year]])*(Table1[division]=Teams[[#This Row],[division]]),Table1[available]) +50</f>
        <v>263.69330472870303</v>
      </c>
    </row>
    <row r="189" spans="1:9" x14ac:dyDescent="0.3">
      <c r="A189" t="s">
        <v>19</v>
      </c>
      <c r="B189">
        <v>3</v>
      </c>
      <c r="C189">
        <v>2025</v>
      </c>
      <c r="D189">
        <v>5</v>
      </c>
      <c r="E189" s="2">
        <v>0.5708333333333333</v>
      </c>
      <c r="F189" s="2">
        <f>AVERAGEIFS(Teams[finish],Teams[year],Teams[[#This Row],[year]],Teams[division],Teams[[#This Row],[division]],Teams[college],"&lt;&gt;Div *")</f>
        <v>0.56753472222222223</v>
      </c>
      <c r="G189" s="8" cm="1">
        <f t="array" ref="G189">MOD(Teams[[#This Row],[winners]]-_xlfn.XLOOKUP(1,(Table1[year]=Teams[[#This Row],[year]])*(Table1[division]=Teams[[#This Row],[division]]),Table1[drop]),1)*1440</f>
        <v>997.25</v>
      </c>
      <c r="H189" s="8">
        <f>(_xlfn.XLOOKUP(Teams[[#This Row],[year]],Table1[year],Table1[cutoff])-Teams[[#This Row],[finish]])*1440</f>
        <v>198.00000000000009</v>
      </c>
      <c r="I189" s="6" cm="1">
        <f t="array" ref="I189">(Teams[[#This Row],[remaining]]+60)*Teams[[#This Row],[winners alt]]/_xlfn.XLOOKUP(1,(Table1[year]=Teams[[#This Row],[year]])*(Table1[division]=Teams[[#This Row],[division]]),Table1[available]) +50</f>
        <v>264.40875000000005</v>
      </c>
    </row>
    <row r="190" spans="1:9" x14ac:dyDescent="0.3">
      <c r="A190" t="s">
        <v>19</v>
      </c>
      <c r="B190">
        <v>2</v>
      </c>
      <c r="C190">
        <v>2025</v>
      </c>
      <c r="D190">
        <v>4</v>
      </c>
      <c r="E190" s="2">
        <v>0.57013888888888886</v>
      </c>
      <c r="F190" s="2">
        <f>AVERAGEIFS(Teams[finish],Teams[year],Teams[[#This Row],[year]],Teams[division],Teams[[#This Row],[division]],Teams[college],"&lt;&gt;Div *")</f>
        <v>0.56967592592592586</v>
      </c>
      <c r="G190" s="8" cm="1">
        <f t="array" ref="G190">MOD(Teams[[#This Row],[winners]]-_xlfn.XLOOKUP(1,(Table1[year]=Teams[[#This Row],[year]])*(Table1[division]=Teams[[#This Row],[division]]),Table1[drop]),1)*1440</f>
        <v>1064.3333333333333</v>
      </c>
      <c r="H190" s="8">
        <f>(_xlfn.XLOOKUP(Teams[[#This Row],[year]],Table1[year],Table1[cutoff])-Teams[[#This Row],[finish]])*1440</f>
        <v>199.00000000000009</v>
      </c>
      <c r="I190" s="6" cm="1">
        <f t="array" ref="I190">(Teams[[#This Row],[remaining]]+60)*Teams[[#This Row],[winners alt]]/_xlfn.XLOOKUP(1,(Table1[year]=Teams[[#This Row],[year]])*(Table1[division]=Teams[[#This Row],[division]]),Table1[available]) +50</f>
        <v>268.08728902953595</v>
      </c>
    </row>
    <row r="191" spans="1:9" x14ac:dyDescent="0.3">
      <c r="A191" t="s">
        <v>241</v>
      </c>
      <c r="B191">
        <v>3</v>
      </c>
      <c r="C191">
        <v>2024</v>
      </c>
      <c r="D191">
        <v>2</v>
      </c>
      <c r="E191" s="2">
        <v>0.58402777777777781</v>
      </c>
      <c r="F191" s="2">
        <f>AVERAGEIFS(Teams[finish],Teams[year],Teams[[#This Row],[year]],Teams[division],Teams[[#This Row],[division]],Teams[college],"&lt;&gt;Div *")</f>
        <v>0.63777777777777778</v>
      </c>
      <c r="G191" s="8" cm="1">
        <f t="array" ref="G191">MOD(Teams[[#This Row],[winners]]-_xlfn.XLOOKUP(1,(Table1[year]=Teams[[#This Row],[year]])*(Table1[division]=Teams[[#This Row],[division]]),Table1[drop]),1)*1440</f>
        <v>938.4</v>
      </c>
      <c r="H191" s="8">
        <f>(_xlfn.XLOOKUP(Teams[[#This Row],[year]],Table1[year],Table1[cutoff])-Teams[[#This Row],[finish]])*1440</f>
        <v>179</v>
      </c>
      <c r="I191" s="6" cm="1">
        <f t="array" ref="I191">(Teams[[#This Row],[remaining]]+60)*Teams[[#This Row],[winners alt]]/_xlfn.XLOOKUP(1,(Table1[year]=Teams[[#This Row],[year]])*(Table1[division]=Teams[[#This Row],[division]]),Table1[available]) +50</f>
        <v>265.65153846153851</v>
      </c>
    </row>
    <row r="192" spans="1:9" x14ac:dyDescent="0.3">
      <c r="A192" t="s">
        <v>5</v>
      </c>
      <c r="B192">
        <v>7</v>
      </c>
      <c r="C192">
        <v>2025</v>
      </c>
      <c r="D192">
        <v>7</v>
      </c>
      <c r="E192" s="2">
        <v>0.51944444444444449</v>
      </c>
      <c r="F192" s="2">
        <f>AVERAGEIFS(Teams[finish],Teams[year],Teams[[#This Row],[year]],Teams[division],Teams[[#This Row],[division]],Teams[college],"&lt;&gt;Div *")</f>
        <v>0.53510101010101008</v>
      </c>
      <c r="G192" s="8" cm="1">
        <f t="array" ref="G192">MOD(Teams[[#This Row],[winners]]-_xlfn.XLOOKUP(1,(Table1[year]=Teams[[#This Row],[year]])*(Table1[division]=Teams[[#This Row],[division]]),Table1[drop]),1)*1440</f>
        <v>470.54545454545445</v>
      </c>
      <c r="H192" s="8">
        <f>(_xlfn.XLOOKUP(Teams[[#This Row],[year]],Table1[year],Table1[cutoff])-Teams[[#This Row],[finish]])*1440</f>
        <v>272</v>
      </c>
      <c r="I192" s="6" cm="1">
        <f t="array" ref="I192">(Teams[[#This Row],[remaining]]+60)*Teams[[#This Row],[winners alt]]/_xlfn.XLOOKUP(1,(Table1[year]=Teams[[#This Row],[year]])*(Table1[division]=Teams[[#This Row],[division]]),Table1[available]) +50</f>
        <v>266.97373737373732</v>
      </c>
    </row>
    <row r="193" spans="1:9" x14ac:dyDescent="0.3">
      <c r="A193" t="s">
        <v>15</v>
      </c>
      <c r="B193">
        <v>5</v>
      </c>
      <c r="C193">
        <v>2023</v>
      </c>
      <c r="D193">
        <v>2</v>
      </c>
      <c r="E193" s="1">
        <v>0.5625</v>
      </c>
      <c r="F193" s="1">
        <f>AVERAGEIFS(Teams[finish],Teams[year],Teams[[#This Row],[year]],Teams[division],Teams[[#This Row],[division]],Teams[college],"&lt;&gt;Div *")</f>
        <v>0.62942708333333341</v>
      </c>
      <c r="G193" s="7" cm="1">
        <f t="array" ref="G193">MOD(Teams[[#This Row],[winners]]-_xlfn.XLOOKUP(1,(Table1[year]=Teams[[#This Row],[year]])*(Table1[division]=Teams[[#This Row],[division]]),Table1[drop]),1)*1440</f>
        <v>876.37500000000011</v>
      </c>
      <c r="H193" s="7">
        <f>(_xlfn.XLOOKUP(Teams[[#This Row],[year]],Table1[year],Table1[cutoff])-Teams[[#This Row],[finish]])*1440</f>
        <v>180</v>
      </c>
      <c r="I193" s="6" cm="1">
        <f t="array" ref="I193">(Teams[[#This Row],[remaining]]+60)*Teams[[#This Row],[winners alt]]/_xlfn.XLOOKUP(1,(Table1[year]=Teams[[#This Row],[year]])*(Table1[division]=Teams[[#This Row],[division]]),Table1[available]) +50</f>
        <v>269.09375</v>
      </c>
    </row>
    <row r="194" spans="1:9" x14ac:dyDescent="0.3">
      <c r="A194" t="s">
        <v>19</v>
      </c>
      <c r="B194">
        <v>5</v>
      </c>
      <c r="C194">
        <v>2022</v>
      </c>
      <c r="D194">
        <v>3</v>
      </c>
      <c r="E194" s="1">
        <v>0.51944444444444449</v>
      </c>
      <c r="F194" s="1">
        <f>AVERAGEIFS(Teams[finish],Teams[year],Teams[[#This Row],[year]],Teams[division],Teams[[#This Row],[division]],Teams[college],"&lt;&gt;Div *")</f>
        <v>0.54583333333333328</v>
      </c>
      <c r="G194" s="7" cm="1">
        <f t="array" ref="G194">MOD(Teams[[#This Row],[winners]]-_xlfn.XLOOKUP(1,(Table1[year]=Teams[[#This Row],[year]])*(Table1[division]=Teams[[#This Row],[division]]),Table1[drop]),1)*1440</f>
        <v>546</v>
      </c>
      <c r="H194" s="7">
        <f>(_xlfn.XLOOKUP(Teams[[#This Row],[year]],Table1[year],Table1[cutoff])-Teams[[#This Row],[finish]])*1440</f>
        <v>241.99999999999994</v>
      </c>
      <c r="I194" s="6" cm="1">
        <f t="array" ref="I194">(Teams[[#This Row],[remaining]]+60)*Teams[[#This Row],[winners alt]]/_xlfn.XLOOKUP(1,(Table1[year]=Teams[[#This Row],[year]])*(Table1[division]=Teams[[#This Row],[division]]),Table1[available]) +50</f>
        <v>269.85599999999999</v>
      </c>
    </row>
    <row r="195" spans="1:9" x14ac:dyDescent="0.3">
      <c r="A195" t="s">
        <v>266</v>
      </c>
      <c r="B195">
        <v>7</v>
      </c>
      <c r="C195">
        <v>2025</v>
      </c>
      <c r="D195">
        <v>6</v>
      </c>
      <c r="E195" s="2">
        <v>0.51597222222222228</v>
      </c>
      <c r="F195" s="2">
        <f>AVERAGEIFS(Teams[finish],Teams[year],Teams[[#This Row],[year]],Teams[division],Teams[[#This Row],[division]],Teams[college],"&lt;&gt;Div *")</f>
        <v>0.53510101010101008</v>
      </c>
      <c r="G195" s="8" cm="1">
        <f t="array" ref="G195">MOD(Teams[[#This Row],[winners]]-_xlfn.XLOOKUP(1,(Table1[year]=Teams[[#This Row],[year]])*(Table1[division]=Teams[[#This Row],[division]]),Table1[drop]),1)*1440</f>
        <v>470.54545454545445</v>
      </c>
      <c r="H195" s="8">
        <f>(_xlfn.XLOOKUP(Teams[[#This Row],[year]],Table1[year],Table1[cutoff])-Teams[[#This Row],[finish]])*1440</f>
        <v>277</v>
      </c>
      <c r="I195" s="6" cm="1">
        <f t="array" ref="I195">(Teams[[#This Row],[remaining]]+60)*Teams[[#This Row],[winners alt]]/_xlfn.XLOOKUP(1,(Table1[year]=Teams[[#This Row],[year]])*(Table1[division]=Teams[[#This Row],[division]]),Table1[available]) +50</f>
        <v>270.24141414141411</v>
      </c>
    </row>
    <row r="196" spans="1:9" x14ac:dyDescent="0.3">
      <c r="A196" t="s">
        <v>15</v>
      </c>
      <c r="B196">
        <v>6</v>
      </c>
      <c r="C196">
        <v>2023</v>
      </c>
      <c r="D196">
        <v>3</v>
      </c>
      <c r="E196" s="1">
        <v>0.56180555555555556</v>
      </c>
      <c r="F196" s="1">
        <f>AVERAGEIFS(Teams[finish],Teams[year],Teams[[#This Row],[year]],Teams[division],Teams[[#This Row],[division]],Teams[college],"&lt;&gt;Div *")</f>
        <v>0.63140432098765431</v>
      </c>
      <c r="G196" s="7" cm="1">
        <f t="array" ref="G196">MOD(Teams[[#This Row],[winners]]-_xlfn.XLOOKUP(1,(Table1[year]=Teams[[#This Row],[year]])*(Table1[division]=Teams[[#This Row],[division]]),Table1[drop]),1)*1440</f>
        <v>849.22222222222229</v>
      </c>
      <c r="H196" s="7">
        <f>(_xlfn.XLOOKUP(Teams[[#This Row],[year]],Table1[year],Table1[cutoff])-Teams[[#This Row],[finish]])*1440</f>
        <v>181</v>
      </c>
      <c r="I196" s="6" cm="1">
        <f t="array" ref="I196">(Teams[[#This Row],[remaining]]+60)*Teams[[#This Row],[winners alt]]/_xlfn.XLOOKUP(1,(Table1[year]=Teams[[#This Row],[year]])*(Table1[division]=Teams[[#This Row],[division]]),Table1[available]) +50</f>
        <v>270.06726403823177</v>
      </c>
    </row>
    <row r="197" spans="1:9" x14ac:dyDescent="0.3">
      <c r="A197" t="s">
        <v>250</v>
      </c>
      <c r="B197">
        <v>6</v>
      </c>
      <c r="C197">
        <v>2025</v>
      </c>
      <c r="D197">
        <v>5</v>
      </c>
      <c r="E197" s="2">
        <v>0.5625</v>
      </c>
      <c r="F197" s="2">
        <f>AVERAGEIFS(Teams[finish],Teams[year],Teams[[#This Row],[year]],Teams[division],Teams[[#This Row],[division]],Teams[college],"&lt;&gt;Div *")</f>
        <v>0.57067901234567897</v>
      </c>
      <c r="G197" s="8" cm="1">
        <f t="array" ref="G197">MOD(Teams[[#This Row],[winners]]-_xlfn.XLOOKUP(1,(Table1[year]=Teams[[#This Row],[year]])*(Table1[division]=Teams[[#This Row],[division]]),Table1[drop]),1)*1440</f>
        <v>699.77777777777771</v>
      </c>
      <c r="H197" s="8">
        <f>(_xlfn.XLOOKUP(Teams[[#This Row],[year]],Table1[year],Table1[cutoff])-Teams[[#This Row],[finish]])*1440</f>
        <v>210.00000000000006</v>
      </c>
      <c r="I197" s="6" cm="1">
        <f t="array" ref="I197">(Teams[[#This Row],[remaining]]+60)*Teams[[#This Row],[winners alt]]/_xlfn.XLOOKUP(1,(Table1[year]=Teams[[#This Row],[year]])*(Table1[division]=Teams[[#This Row],[division]]),Table1[available]) +50</f>
        <v>260.40089086859689</v>
      </c>
    </row>
    <row r="198" spans="1:9" x14ac:dyDescent="0.3">
      <c r="A198" t="s">
        <v>137</v>
      </c>
      <c r="B198">
        <v>7</v>
      </c>
      <c r="C198">
        <v>2022</v>
      </c>
      <c r="D198">
        <v>1</v>
      </c>
      <c r="E198" s="1">
        <v>0.44166666666666665</v>
      </c>
      <c r="F198" s="1">
        <f>AVERAGEIFS(Teams[finish],Teams[year],Teams[[#This Row],[year]],Teams[division],Teams[[#This Row],[division]],Teams[college],"&lt;&gt;Div *")</f>
        <v>0.47932098765432102</v>
      </c>
      <c r="G198" s="7" cm="1">
        <f t="array" ref="G198">MOD(Teams[[#This Row],[winners]]-_xlfn.XLOOKUP(1,(Table1[year]=Teams[[#This Row],[year]])*(Table1[division]=Teams[[#This Row],[division]]),Table1[drop]),1)*1440</f>
        <v>345.22222222222223</v>
      </c>
      <c r="H198" s="7">
        <f>(_xlfn.XLOOKUP(Teams[[#This Row],[year]],Table1[year],Table1[cutoff])-Teams[[#This Row],[finish]])*1440</f>
        <v>354</v>
      </c>
      <c r="I198" s="6" cm="1">
        <f t="array" ref="I198">(Teams[[#This Row],[remaining]]+60)*Teams[[#This Row],[winners alt]]/_xlfn.XLOOKUP(1,(Table1[year]=Teams[[#This Row],[year]])*(Table1[division]=Teams[[#This Row],[division]]),Table1[available]) +50</f>
        <v>271.58449612403103</v>
      </c>
    </row>
    <row r="199" spans="1:9" x14ac:dyDescent="0.3">
      <c r="A199" t="s">
        <v>15</v>
      </c>
      <c r="B199">
        <v>7</v>
      </c>
      <c r="C199">
        <v>2025</v>
      </c>
      <c r="D199">
        <v>5</v>
      </c>
      <c r="E199" s="2">
        <v>0.51388888888888884</v>
      </c>
      <c r="F199" s="2">
        <f>AVERAGEIFS(Teams[finish],Teams[year],Teams[[#This Row],[year]],Teams[division],Teams[[#This Row],[division]],Teams[college],"&lt;&gt;Div *")</f>
        <v>0.53510101010101008</v>
      </c>
      <c r="G199" s="8" cm="1">
        <f t="array" ref="G199">MOD(Teams[[#This Row],[winners]]-_xlfn.XLOOKUP(1,(Table1[year]=Teams[[#This Row],[year]])*(Table1[division]=Teams[[#This Row],[division]]),Table1[drop]),1)*1440</f>
        <v>470.54545454545445</v>
      </c>
      <c r="H199" s="8">
        <f>(_xlfn.XLOOKUP(Teams[[#This Row],[year]],Table1[year],Table1[cutoff])-Teams[[#This Row],[finish]])*1440</f>
        <v>280.00000000000011</v>
      </c>
      <c r="I199" s="6" cm="1">
        <f t="array" ref="I199">(Teams[[#This Row],[remaining]]+60)*Teams[[#This Row],[winners alt]]/_xlfn.XLOOKUP(1,(Table1[year]=Teams[[#This Row],[year]])*(Table1[division]=Teams[[#This Row],[division]]),Table1[available]) +50</f>
        <v>272.20202020202021</v>
      </c>
    </row>
    <row r="200" spans="1:9" x14ac:dyDescent="0.3">
      <c r="A200" t="s">
        <v>754</v>
      </c>
      <c r="B200">
        <v>2</v>
      </c>
      <c r="C200">
        <v>2024</v>
      </c>
      <c r="D200" t="s">
        <v>735</v>
      </c>
      <c r="E200" s="1">
        <v>0.55555555555555558</v>
      </c>
      <c r="F200" s="1">
        <f>AVERAGEIFS(Teams[finish],Teams[year],Teams[[#This Row],[year]],Teams[division],Teams[[#This Row],[division]],Teams[college],"&lt;&gt;Div *")</f>
        <v>0.54940476190476184</v>
      </c>
      <c r="G200" s="7" cm="1">
        <f t="array" ref="G200">MOD(Teams[[#This Row],[winners]]-_xlfn.XLOOKUP(1,(Table1[year]=Teams[[#This Row],[year]])*(Table1[division]=Teams[[#This Row],[division]]),Table1[drop]),1)*1440</f>
        <v>876.14285714285711</v>
      </c>
      <c r="H200" s="7">
        <f>(_xlfn.XLOOKUP(Teams[[#This Row],[year]],Table1[year],Table1[cutoff])-Teams[[#This Row],[finish]])*1440</f>
        <v>220.00000000000003</v>
      </c>
      <c r="I200" s="6" cm="1">
        <f t="array" ref="I200">(Teams[[#This Row],[remaining]]+60)*Teams[[#This Row],[winners alt]]/_xlfn.XLOOKUP(1,(Table1[year]=Teams[[#This Row],[year]])*(Table1[division]=Teams[[#This Row],[division]]),Table1[available]) +50</f>
        <v>272.00904977375569</v>
      </c>
    </row>
    <row r="201" spans="1:9" x14ac:dyDescent="0.3">
      <c r="A201" t="s">
        <v>5</v>
      </c>
      <c r="B201">
        <v>4</v>
      </c>
      <c r="C201">
        <v>2025</v>
      </c>
      <c r="D201">
        <v>2</v>
      </c>
      <c r="E201" s="2">
        <v>0.57222222222222219</v>
      </c>
      <c r="F201" s="2">
        <f>AVERAGEIFS(Teams[finish],Teams[year],Teams[[#This Row],[year]],Teams[division],Teams[[#This Row],[division]],Teams[college],"&lt;&gt;Div *")</f>
        <v>0.61206597222222225</v>
      </c>
      <c r="G201" s="8" cm="1">
        <f t="array" ref="G201">MOD(Teams[[#This Row],[winners]]-_xlfn.XLOOKUP(1,(Table1[year]=Teams[[#This Row],[year]])*(Table1[division]=Teams[[#This Row],[division]]),Table1[drop]),1)*1440</f>
        <v>933.375</v>
      </c>
      <c r="H201" s="8">
        <f>(_xlfn.XLOOKUP(Teams[[#This Row],[year]],Table1[year],Table1[cutoff])-Teams[[#This Row],[finish]])*1440</f>
        <v>196.00000000000011</v>
      </c>
      <c r="I201" s="6" cm="1">
        <f t="array" ref="I201">(Teams[[#This Row],[remaining]]+60)*Teams[[#This Row],[winners alt]]/_xlfn.XLOOKUP(1,(Table1[year]=Teams[[#This Row],[year]])*(Table1[division]=Teams[[#This Row],[division]]),Table1[available]) +50</f>
        <v>272.89552238805982</v>
      </c>
    </row>
    <row r="202" spans="1:9" x14ac:dyDescent="0.3">
      <c r="A202" t="s">
        <v>19</v>
      </c>
      <c r="B202">
        <v>1</v>
      </c>
      <c r="C202">
        <v>2025</v>
      </c>
      <c r="D202">
        <v>4</v>
      </c>
      <c r="E202" s="2">
        <v>0.57013888888888886</v>
      </c>
      <c r="F202" s="2">
        <f>AVERAGEIFS(Teams[finish],Teams[year],Teams[[#This Row],[year]],Teams[division],Teams[[#This Row],[division]],Teams[college],"&lt;&gt;Div *")</f>
        <v>0.58533950617283947</v>
      </c>
      <c r="G202" s="8" cm="1">
        <f t="array" ref="G202">MOD(Teams[[#This Row],[winners]]-_xlfn.XLOOKUP(1,(Table1[year]=Teams[[#This Row],[year]])*(Table1[division]=Teams[[#This Row],[division]]),Table1[drop]),1)*1440</f>
        <v>1129.8888888888887</v>
      </c>
      <c r="H202" s="8">
        <f>(_xlfn.XLOOKUP(Teams[[#This Row],[year]],Table1[year],Table1[cutoff])-Teams[[#This Row],[finish]])*1440</f>
        <v>199.00000000000009</v>
      </c>
      <c r="I202" s="6" cm="1">
        <f t="array" ref="I202">(Teams[[#This Row],[remaining]]+60)*Teams[[#This Row],[winners alt]]/_xlfn.XLOOKUP(1,(Table1[year]=Teams[[#This Row],[year]])*(Table1[division]=Teams[[#This Row],[division]]),Table1[available]) +50</f>
        <v>273.90300093513565</v>
      </c>
    </row>
    <row r="203" spans="1:9" x14ac:dyDescent="0.3">
      <c r="A203" t="s">
        <v>250</v>
      </c>
      <c r="B203">
        <v>2</v>
      </c>
      <c r="C203">
        <v>2025</v>
      </c>
      <c r="D203">
        <v>3</v>
      </c>
      <c r="E203" s="2">
        <v>0.5625</v>
      </c>
      <c r="F203" s="2">
        <f>AVERAGEIFS(Teams[finish],Teams[year],Teams[[#This Row],[year]],Teams[division],Teams[[#This Row],[division]],Teams[college],"&lt;&gt;Div *")</f>
        <v>0.56967592592592586</v>
      </c>
      <c r="G203" s="8" cm="1">
        <f t="array" ref="G203">MOD(Teams[[#This Row],[winners]]-_xlfn.XLOOKUP(1,(Table1[year]=Teams[[#This Row],[year]])*(Table1[division]=Teams[[#This Row],[division]]),Table1[drop]),1)*1440</f>
        <v>1064.3333333333333</v>
      </c>
      <c r="H203" s="8">
        <f>(_xlfn.XLOOKUP(Teams[[#This Row],[year]],Table1[year],Table1[cutoff])-Teams[[#This Row],[finish]])*1440</f>
        <v>210.00000000000006</v>
      </c>
      <c r="I203" s="6" cm="1">
        <f t="array" ref="I203">(Teams[[#This Row],[remaining]]+60)*Teams[[#This Row],[winners alt]]/_xlfn.XLOOKUP(1,(Table1[year]=Teams[[#This Row],[year]])*(Table1[division]=Teams[[#This Row],[division]]),Table1[available]) +50</f>
        <v>277.34968354430384</v>
      </c>
    </row>
    <row r="204" spans="1:9" x14ac:dyDescent="0.3">
      <c r="A204" t="s">
        <v>266</v>
      </c>
      <c r="B204">
        <v>6</v>
      </c>
      <c r="C204">
        <v>2023</v>
      </c>
      <c r="D204">
        <v>2</v>
      </c>
      <c r="E204" s="1">
        <v>0.55763888888888891</v>
      </c>
      <c r="F204" s="1">
        <f>AVERAGEIFS(Teams[finish],Teams[year],Teams[[#This Row],[year]],Teams[division],Teams[[#This Row],[division]],Teams[college],"&lt;&gt;Div *")</f>
        <v>0.63140432098765431</v>
      </c>
      <c r="G204" s="7" cm="1">
        <f t="array" ref="G204">MOD(Teams[[#This Row],[winners]]-_xlfn.XLOOKUP(1,(Table1[year]=Teams[[#This Row],[year]])*(Table1[division]=Teams[[#This Row],[division]]),Table1[drop]),1)*1440</f>
        <v>849.22222222222229</v>
      </c>
      <c r="H204" s="7">
        <f>(_xlfn.XLOOKUP(Teams[[#This Row],[year]],Table1[year],Table1[cutoff])-Teams[[#This Row],[finish]])*1440</f>
        <v>186.99999999999997</v>
      </c>
      <c r="I204" s="6" cm="1">
        <f t="array" ref="I204">(Teams[[#This Row],[remaining]]+60)*Teams[[#This Row],[winners alt]]/_xlfn.XLOOKUP(1,(Table1[year]=Teams[[#This Row],[year]])*(Table1[division]=Teams[[#This Row],[division]]),Table1[available]) +50</f>
        <v>275.54611708482673</v>
      </c>
    </row>
    <row r="205" spans="1:9" x14ac:dyDescent="0.3">
      <c r="A205" t="s">
        <v>757</v>
      </c>
      <c r="B205">
        <v>5</v>
      </c>
      <c r="C205">
        <v>2025</v>
      </c>
      <c r="D205" t="s">
        <v>735</v>
      </c>
      <c r="E205" s="1">
        <v>0.53472222222222221</v>
      </c>
      <c r="F205" s="1">
        <f>AVERAGEIFS(Teams[finish],Teams[year],Teams[[#This Row],[year]],Teams[division],Teams[[#This Row],[division]],Teams[college],"&lt;&gt;Div *")</f>
        <v>0.51717171717171717</v>
      </c>
      <c r="G205" s="7" cm="1">
        <f t="array" ref="G205">MOD(Teams[[#This Row],[winners]]-_xlfn.XLOOKUP(1,(Table1[year]=Teams[[#This Row],[year]])*(Table1[division]=Teams[[#This Row],[division]]),Table1[drop]),1)*1440</f>
        <v>741.72727272727275</v>
      </c>
      <c r="H205" s="7">
        <f>(_xlfn.XLOOKUP(Teams[[#This Row],[year]],Table1[year],Table1[cutoff])-Teams[[#This Row],[finish]])*1440</f>
        <v>250.00000000000006</v>
      </c>
      <c r="I205" s="6" cm="1">
        <f t="array" ref="I205">(Teams[[#This Row],[remaining]]+60)*Teams[[#This Row],[winners alt]]/_xlfn.XLOOKUP(1,(Table1[year]=Teams[[#This Row],[year]])*(Table1[division]=Teams[[#This Row],[division]]),Table1[available]) +50</f>
        <v>276.09189237507826</v>
      </c>
    </row>
    <row r="206" spans="1:9" x14ac:dyDescent="0.3">
      <c r="A206" t="s">
        <v>19</v>
      </c>
      <c r="B206">
        <v>5</v>
      </c>
      <c r="C206">
        <v>2023</v>
      </c>
      <c r="D206">
        <v>1</v>
      </c>
      <c r="E206" s="1">
        <v>0.55625000000000002</v>
      </c>
      <c r="F206" s="1">
        <f>AVERAGEIFS(Teams[finish],Teams[year],Teams[[#This Row],[year]],Teams[division],Teams[[#This Row],[division]],Teams[college],"&lt;&gt;Div *")</f>
        <v>0.62942708333333341</v>
      </c>
      <c r="G206" s="7" cm="1">
        <f t="array" ref="G206">MOD(Teams[[#This Row],[winners]]-_xlfn.XLOOKUP(1,(Table1[year]=Teams[[#This Row],[year]])*(Table1[division]=Teams[[#This Row],[division]]),Table1[drop]),1)*1440</f>
        <v>876.37500000000011</v>
      </c>
      <c r="H206" s="7">
        <f>(_xlfn.XLOOKUP(Teams[[#This Row],[year]],Table1[year],Table1[cutoff])-Teams[[#This Row],[finish]])*1440</f>
        <v>188.99999999999997</v>
      </c>
      <c r="I206" s="6" cm="1">
        <f t="array" ref="I206">(Teams[[#This Row],[remaining]]+60)*Teams[[#This Row],[winners alt]]/_xlfn.XLOOKUP(1,(Table1[year]=Teams[[#This Row],[year]])*(Table1[division]=Teams[[#This Row],[division]]),Table1[available]) +50</f>
        <v>277.30976562500001</v>
      </c>
    </row>
    <row r="207" spans="1:9" x14ac:dyDescent="0.3">
      <c r="A207" t="s">
        <v>19</v>
      </c>
      <c r="B207">
        <v>7</v>
      </c>
      <c r="C207">
        <v>2025</v>
      </c>
      <c r="D207">
        <v>4</v>
      </c>
      <c r="E207" s="2">
        <v>0.50555555555555554</v>
      </c>
      <c r="F207" s="2">
        <f>AVERAGEIFS(Teams[finish],Teams[year],Teams[[#This Row],[year]],Teams[division],Teams[[#This Row],[division]],Teams[college],"&lt;&gt;Div *")</f>
        <v>0.53510101010101008</v>
      </c>
      <c r="G207" s="8" cm="1">
        <f t="array" ref="G207">MOD(Teams[[#This Row],[winners]]-_xlfn.XLOOKUP(1,(Table1[year]=Teams[[#This Row],[year]])*(Table1[division]=Teams[[#This Row],[division]]),Table1[drop]),1)*1440</f>
        <v>470.54545454545445</v>
      </c>
      <c r="H207" s="8">
        <f>(_xlfn.XLOOKUP(Teams[[#This Row],[year]],Table1[year],Table1[cutoff])-Teams[[#This Row],[finish]])*1440</f>
        <v>292.00000000000006</v>
      </c>
      <c r="I207" s="6" cm="1">
        <f t="array" ref="I207">(Teams[[#This Row],[remaining]]+60)*Teams[[#This Row],[winners alt]]/_xlfn.XLOOKUP(1,(Table1[year]=Teams[[#This Row],[year]])*(Table1[division]=Teams[[#This Row],[division]]),Table1[available]) +50</f>
        <v>280.04444444444448</v>
      </c>
    </row>
    <row r="208" spans="1:9" x14ac:dyDescent="0.3">
      <c r="A208" t="s">
        <v>250</v>
      </c>
      <c r="B208">
        <v>7</v>
      </c>
      <c r="C208">
        <v>2025</v>
      </c>
      <c r="D208">
        <v>3</v>
      </c>
      <c r="E208" s="2">
        <v>0.50208333333333333</v>
      </c>
      <c r="F208" s="2">
        <f>AVERAGEIFS(Teams[finish],Teams[year],Teams[[#This Row],[year]],Teams[division],Teams[[#This Row],[division]],Teams[college],"&lt;&gt;Div *")</f>
        <v>0.53510101010101008</v>
      </c>
      <c r="G208" s="8" cm="1">
        <f t="array" ref="G208">MOD(Teams[[#This Row],[winners]]-_xlfn.XLOOKUP(1,(Table1[year]=Teams[[#This Row],[year]])*(Table1[division]=Teams[[#This Row],[division]]),Table1[drop]),1)*1440</f>
        <v>470.54545454545445</v>
      </c>
      <c r="H208" s="8">
        <f>(_xlfn.XLOOKUP(Teams[[#This Row],[year]],Table1[year],Table1[cutoff])-Teams[[#This Row],[finish]])*1440</f>
        <v>297.00000000000006</v>
      </c>
      <c r="I208" s="6" cm="1">
        <f t="array" ref="I208">(Teams[[#This Row],[remaining]]+60)*Teams[[#This Row],[winners alt]]/_xlfn.XLOOKUP(1,(Table1[year]=Teams[[#This Row],[year]])*(Table1[division]=Teams[[#This Row],[division]]),Table1[available]) +50</f>
        <v>283.31212121212121</v>
      </c>
    </row>
    <row r="209" spans="1:9" x14ac:dyDescent="0.3">
      <c r="A209" t="s">
        <v>123</v>
      </c>
      <c r="B209">
        <v>4</v>
      </c>
      <c r="C209">
        <v>2024</v>
      </c>
      <c r="D209">
        <v>1</v>
      </c>
      <c r="E209" s="2">
        <v>0.60347222222222219</v>
      </c>
      <c r="F209" s="2">
        <f>AVERAGEIFS(Teams[finish],Teams[year],Teams[[#This Row],[year]],Teams[division],Teams[[#This Row],[division]],Teams[college],"&lt;&gt;Div *")</f>
        <v>0.65188492063492054</v>
      </c>
      <c r="G209" s="8" cm="1">
        <f t="array" ref="G209">MOD(Teams[[#This Row],[winners]]-_xlfn.XLOOKUP(1,(Table1[year]=Teams[[#This Row],[year]])*(Table1[division]=Teams[[#This Row],[division]]),Table1[drop]),1)*1440</f>
        <v>777.71428571428555</v>
      </c>
      <c r="H209" s="8">
        <f>(_xlfn.XLOOKUP(Teams[[#This Row],[year]],Table1[year],Table1[cutoff])-Teams[[#This Row],[finish]])*1440</f>
        <v>151.00000000000011</v>
      </c>
      <c r="I209" s="6" cm="1">
        <f t="array" ref="I209">(Teams[[#This Row],[remaining]]+60)*Teams[[#This Row],[winners alt]]/_xlfn.XLOOKUP(1,(Table1[year]=Teams[[#This Row],[year]])*(Table1[division]=Teams[[#This Row],[division]]),Table1[available]) +50</f>
        <v>241.03342757359061</v>
      </c>
    </row>
    <row r="210" spans="1:9" x14ac:dyDescent="0.3">
      <c r="A210" t="s">
        <v>756</v>
      </c>
      <c r="B210">
        <v>5</v>
      </c>
      <c r="C210">
        <v>2025</v>
      </c>
      <c r="D210" t="s">
        <v>735</v>
      </c>
      <c r="E210" s="1">
        <v>0.52708333333333335</v>
      </c>
      <c r="F210" s="1">
        <f>AVERAGEIFS(Teams[finish],Teams[year],Teams[[#This Row],[year]],Teams[division],Teams[[#This Row],[division]],Teams[college],"&lt;&gt;Div *")</f>
        <v>0.51717171717171717</v>
      </c>
      <c r="G210" s="7" cm="1">
        <f t="array" ref="G210">MOD(Teams[[#This Row],[winners]]-_xlfn.XLOOKUP(1,(Table1[year]=Teams[[#This Row],[year]])*(Table1[division]=Teams[[#This Row],[division]]),Table1[drop]),1)*1440</f>
        <v>741.72727272727275</v>
      </c>
      <c r="H210" s="7">
        <f>(_xlfn.XLOOKUP(Teams[[#This Row],[year]],Table1[year],Table1[cutoff])-Teams[[#This Row],[finish]])*1440</f>
        <v>261.00000000000006</v>
      </c>
      <c r="I210" s="6" cm="1">
        <f t="array" ref="I210">(Teams[[#This Row],[remaining]]+60)*Teams[[#This Row],[winners alt]]/_xlfn.XLOOKUP(1,(Table1[year]=Teams[[#This Row],[year]])*(Table1[division]=Teams[[#This Row],[division]]),Table1[available]) +50</f>
        <v>284.11450791096809</v>
      </c>
    </row>
    <row r="211" spans="1:9" x14ac:dyDescent="0.3">
      <c r="A211" t="s">
        <v>15</v>
      </c>
      <c r="B211">
        <v>6</v>
      </c>
      <c r="C211">
        <v>2022</v>
      </c>
      <c r="D211">
        <v>4</v>
      </c>
      <c r="E211" s="1">
        <v>0.50069444444444444</v>
      </c>
      <c r="F211" s="1">
        <f>AVERAGEIFS(Teams[finish],Teams[year],Teams[[#This Row],[year]],Teams[division],Teams[[#This Row],[division]],Teams[college],"&lt;&gt;Div *")</f>
        <v>0.55651041666666667</v>
      </c>
      <c r="G211" s="7" cm="1">
        <f t="array" ref="G211">MOD(Teams[[#This Row],[winners]]-_xlfn.XLOOKUP(1,(Table1[year]=Teams[[#This Row],[year]])*(Table1[division]=Teams[[#This Row],[division]]),Table1[drop]),1)*1440</f>
        <v>471.37500000000006</v>
      </c>
      <c r="H211" s="7">
        <f>(_xlfn.XLOOKUP(Teams[[#This Row],[year]],Table1[year],Table1[cutoff])-Teams[[#This Row],[finish]])*1440</f>
        <v>269</v>
      </c>
      <c r="I211" s="6" cm="1">
        <f t="array" ref="I211">(Teams[[#This Row],[remaining]]+60)*Teams[[#This Row],[winners alt]]/_xlfn.XLOOKUP(1,(Table1[year]=Teams[[#This Row],[year]])*(Table1[division]=Teams[[#This Row],[division]]),Table1[available]) +50</f>
        <v>284.97329545454551</v>
      </c>
    </row>
    <row r="212" spans="1:9" x14ac:dyDescent="0.3">
      <c r="A212" t="s">
        <v>132</v>
      </c>
      <c r="B212">
        <v>2</v>
      </c>
      <c r="C212">
        <v>2024</v>
      </c>
      <c r="D212">
        <v>4</v>
      </c>
      <c r="E212" s="2">
        <v>0.5444444444444444</v>
      </c>
      <c r="F212" s="2">
        <f>AVERAGEIFS(Teams[finish],Teams[year],Teams[[#This Row],[year]],Teams[division],Teams[[#This Row],[division]],Teams[college],"&lt;&gt;Div *")</f>
        <v>0.54940476190476184</v>
      </c>
      <c r="G212" s="8" cm="1">
        <f t="array" ref="G212">MOD(Teams[[#This Row],[winners]]-_xlfn.XLOOKUP(1,(Table1[year]=Teams[[#This Row],[year]])*(Table1[division]=Teams[[#This Row],[division]]),Table1[drop]),1)*1440</f>
        <v>876.14285714285711</v>
      </c>
      <c r="H212" s="8">
        <f>(_xlfn.XLOOKUP(Teams[[#This Row],[year]],Table1[year],Table1[cutoff])-Teams[[#This Row],[finish]])*1440</f>
        <v>236.00000000000011</v>
      </c>
      <c r="I212" s="6" cm="1">
        <f t="array" ref="I212">(Teams[[#This Row],[remaining]]+60)*Teams[[#This Row],[winners alt]]/_xlfn.XLOOKUP(1,(Table1[year]=Teams[[#This Row],[year]])*(Table1[division]=Teams[[#This Row],[division]]),Table1[available]) +50</f>
        <v>284.69528118939888</v>
      </c>
    </row>
    <row r="213" spans="1:9" x14ac:dyDescent="0.3">
      <c r="A213" t="s">
        <v>137</v>
      </c>
      <c r="B213">
        <v>7</v>
      </c>
      <c r="C213">
        <v>2024</v>
      </c>
      <c r="D213">
        <v>2</v>
      </c>
      <c r="E213" s="2">
        <v>0.56736111111111109</v>
      </c>
      <c r="F213" s="2">
        <f>AVERAGEIFS(Teams[finish],Teams[year],Teams[[#This Row],[year]],Teams[division],Teams[[#This Row],[division]],Teams[college],"&lt;&gt;Div *")</f>
        <v>0.65364583333333337</v>
      </c>
      <c r="G213" s="8" cm="1">
        <f t="array" ref="G213">MOD(Teams[[#This Row],[winners]]-_xlfn.XLOOKUP(1,(Table1[year]=Teams[[#This Row],[year]])*(Table1[division]=Teams[[#This Row],[division]]),Table1[drop]),1)*1440</f>
        <v>661.25000000000011</v>
      </c>
      <c r="H213" s="8">
        <f>(_xlfn.XLOOKUP(Teams[[#This Row],[year]],Table1[year],Table1[cutoff])-Teams[[#This Row],[finish]])*1440</f>
        <v>203.00000000000009</v>
      </c>
      <c r="I213" s="6" cm="1">
        <f t="array" ref="I213">(Teams[[#This Row],[remaining]]+60)*Teams[[#This Row],[winners alt]]/_xlfn.XLOOKUP(1,(Table1[year]=Teams[[#This Row],[year]])*(Table1[division]=Teams[[#This Row],[division]]),Table1[available]) +50</f>
        <v>285.01182432432444</v>
      </c>
    </row>
    <row r="214" spans="1:9" x14ac:dyDescent="0.3">
      <c r="A214" t="s">
        <v>132</v>
      </c>
      <c r="B214">
        <v>5</v>
      </c>
      <c r="C214">
        <v>2025</v>
      </c>
      <c r="D214">
        <v>7</v>
      </c>
      <c r="E214" s="2">
        <v>0.52638888888888891</v>
      </c>
      <c r="F214" s="2">
        <f>AVERAGEIFS(Teams[finish],Teams[year],Teams[[#This Row],[year]],Teams[division],Teams[[#This Row],[division]],Teams[college],"&lt;&gt;Div *")</f>
        <v>0.51717171717171717</v>
      </c>
      <c r="G214" s="8" cm="1">
        <f t="array" ref="G214">MOD(Teams[[#This Row],[winners]]-_xlfn.XLOOKUP(1,(Table1[year]=Teams[[#This Row],[year]])*(Table1[division]=Teams[[#This Row],[division]]),Table1[drop]),1)*1440</f>
        <v>741.72727272727275</v>
      </c>
      <c r="H214" s="8">
        <f>(_xlfn.XLOOKUP(Teams[[#This Row],[year]],Table1[year],Table1[cutoff])-Teams[[#This Row],[finish]])*1440</f>
        <v>262</v>
      </c>
      <c r="I214" s="6" cm="1">
        <f t="array" ref="I214">(Teams[[#This Row],[remaining]]+60)*Teams[[#This Row],[winners alt]]/_xlfn.XLOOKUP(1,(Table1[year]=Teams[[#This Row],[year]])*(Table1[division]=Teams[[#This Row],[division]]),Table1[available]) +50</f>
        <v>284.84383659604896</v>
      </c>
    </row>
    <row r="215" spans="1:9" x14ac:dyDescent="0.3">
      <c r="A215" t="s">
        <v>754</v>
      </c>
      <c r="B215">
        <v>5</v>
      </c>
      <c r="C215">
        <v>2024</v>
      </c>
      <c r="D215" t="s">
        <v>735</v>
      </c>
      <c r="E215" s="1">
        <v>0.4777777777777778</v>
      </c>
      <c r="F215" s="1">
        <f>AVERAGEIFS(Teams[finish],Teams[year],Teams[[#This Row],[year]],Teams[division],Teams[[#This Row],[division]],Teams[college],"&lt;&gt;Div *")</f>
        <v>0.61149691358024683</v>
      </c>
      <c r="G215" s="7" cm="1">
        <f t="array" ref="G215">MOD(Teams[[#This Row],[winners]]-_xlfn.XLOOKUP(1,(Table1[year]=Teams[[#This Row],[year]])*(Table1[division]=Teams[[#This Row],[division]]),Table1[drop]),1)*1440</f>
        <v>691.55555555555543</v>
      </c>
      <c r="H215" s="7">
        <f>(_xlfn.XLOOKUP(Teams[[#This Row],[year]],Table1[year],Table1[cutoff])-Teams[[#This Row],[finish]])*1440</f>
        <v>332</v>
      </c>
      <c r="I215" s="6" cm="1">
        <f t="array" ref="I215">(Teams[[#This Row],[remaining]]+60)*Teams[[#This Row],[winners alt]]/_xlfn.XLOOKUP(1,(Table1[year]=Teams[[#This Row],[year]])*(Table1[division]=Teams[[#This Row],[division]]),Table1[available]) +50</f>
        <v>376.22115256050267</v>
      </c>
    </row>
    <row r="216" spans="1:9" x14ac:dyDescent="0.3">
      <c r="A216" t="s">
        <v>755</v>
      </c>
      <c r="B216">
        <v>6</v>
      </c>
      <c r="C216">
        <v>2025</v>
      </c>
      <c r="D216" t="s">
        <v>735</v>
      </c>
      <c r="E216" s="1">
        <v>0.55000000000000004</v>
      </c>
      <c r="F216" s="1">
        <f>AVERAGEIFS(Teams[finish],Teams[year],Teams[[#This Row],[year]],Teams[division],Teams[[#This Row],[division]],Teams[college],"&lt;&gt;Div *")</f>
        <v>0.57067901234567897</v>
      </c>
      <c r="G216" s="7" cm="1">
        <f t="array" ref="G216">MOD(Teams[[#This Row],[winners]]-_xlfn.XLOOKUP(1,(Table1[year]=Teams[[#This Row],[year]])*(Table1[division]=Teams[[#This Row],[division]]),Table1[drop]),1)*1440</f>
        <v>699.77777777777771</v>
      </c>
      <c r="H216" s="7">
        <f>(_xlfn.XLOOKUP(Teams[[#This Row],[year]],Table1[year],Table1[cutoff])-Teams[[#This Row],[finish]])*1440</f>
        <v>228</v>
      </c>
      <c r="I216" s="6" cm="1">
        <f t="array" ref="I216">(Teams[[#This Row],[remaining]]+60)*Teams[[#This Row],[winners alt]]/_xlfn.XLOOKUP(1,(Table1[year]=Teams[[#This Row],[year]])*(Table1[division]=Teams[[#This Row],[division]]),Table1[available]) +50</f>
        <v>274.42761692650333</v>
      </c>
    </row>
    <row r="217" spans="1:9" x14ac:dyDescent="0.3">
      <c r="A217" t="s">
        <v>266</v>
      </c>
      <c r="B217">
        <v>4</v>
      </c>
      <c r="C217">
        <v>2023</v>
      </c>
      <c r="D217">
        <v>2</v>
      </c>
      <c r="E217" s="1">
        <v>0.54097222222222219</v>
      </c>
      <c r="F217" s="1">
        <f>AVERAGEIFS(Teams[finish],Teams[year],Teams[[#This Row],[year]],Teams[division],Teams[[#This Row],[division]],Teams[college],"&lt;&gt;Div *")</f>
        <v>0.59335317460317449</v>
      </c>
      <c r="G217" s="7" cm="1">
        <f t="array" ref="G217">MOD(Teams[[#This Row],[winners]]-_xlfn.XLOOKUP(1,(Table1[year]=Teams[[#This Row],[year]])*(Table1[division]=Teams[[#This Row],[division]]),Table1[drop]),1)*1440</f>
        <v>944.42857142857122</v>
      </c>
      <c r="H217" s="7">
        <f>(_xlfn.XLOOKUP(Teams[[#This Row],[year]],Table1[year],Table1[cutoff])-Teams[[#This Row],[finish]])*1440</f>
        <v>211.00000000000006</v>
      </c>
      <c r="I217" s="6" cm="1">
        <f t="array" ref="I217">(Teams[[#This Row],[remaining]]+60)*Teams[[#This Row],[winners alt]]/_xlfn.XLOOKUP(1,(Table1[year]=Teams[[#This Row],[year]])*(Table1[division]=Teams[[#This Row],[division]]),Table1[available]) +50</f>
        <v>286.98161375661374</v>
      </c>
    </row>
    <row r="218" spans="1:9" x14ac:dyDescent="0.3">
      <c r="A218" t="s">
        <v>19</v>
      </c>
      <c r="B218">
        <v>6</v>
      </c>
      <c r="C218">
        <v>2025</v>
      </c>
      <c r="D218">
        <v>4</v>
      </c>
      <c r="E218" s="2">
        <v>0.54861111111111116</v>
      </c>
      <c r="F218" s="2">
        <f>AVERAGEIFS(Teams[finish],Teams[year],Teams[[#This Row],[year]],Teams[division],Teams[[#This Row],[division]],Teams[college],"&lt;&gt;Div *")</f>
        <v>0.57067901234567897</v>
      </c>
      <c r="G218" s="8" cm="1">
        <f t="array" ref="G218">MOD(Teams[[#This Row],[winners]]-_xlfn.XLOOKUP(1,(Table1[year]=Teams[[#This Row],[year]])*(Table1[division]=Teams[[#This Row],[division]]),Table1[drop]),1)*1440</f>
        <v>699.77777777777771</v>
      </c>
      <c r="H218" s="8">
        <f>(_xlfn.XLOOKUP(Teams[[#This Row],[year]],Table1[year],Table1[cutoff])-Teams[[#This Row],[finish]])*1440</f>
        <v>229.99999999999997</v>
      </c>
      <c r="I218" s="6" cm="1">
        <f t="array" ref="I218">(Teams[[#This Row],[remaining]]+60)*Teams[[#This Row],[winners alt]]/_xlfn.XLOOKUP(1,(Table1[year]=Teams[[#This Row],[year]])*(Table1[division]=Teams[[#This Row],[division]]),Table1[available]) +50</f>
        <v>275.98614204404851</v>
      </c>
    </row>
    <row r="219" spans="1:9" x14ac:dyDescent="0.3">
      <c r="A219" t="s">
        <v>15</v>
      </c>
      <c r="B219">
        <v>7</v>
      </c>
      <c r="C219">
        <v>2024</v>
      </c>
      <c r="D219">
        <v>1</v>
      </c>
      <c r="E219" s="2">
        <v>0.56527777777777777</v>
      </c>
      <c r="F219" s="2">
        <f>AVERAGEIFS(Teams[finish],Teams[year],Teams[[#This Row],[year]],Teams[division],Teams[[#This Row],[division]],Teams[college],"&lt;&gt;Div *")</f>
        <v>0.65364583333333337</v>
      </c>
      <c r="G219" s="8" cm="1">
        <f t="array" ref="G219">MOD(Teams[[#This Row],[winners]]-_xlfn.XLOOKUP(1,(Table1[year]=Teams[[#This Row],[year]])*(Table1[division]=Teams[[#This Row],[division]]),Table1[drop]),1)*1440</f>
        <v>661.25000000000011</v>
      </c>
      <c r="H219" s="8">
        <f>(_xlfn.XLOOKUP(Teams[[#This Row],[year]],Table1[year],Table1[cutoff])-Teams[[#This Row],[finish]])*1440</f>
        <v>206.00000000000006</v>
      </c>
      <c r="I219" s="6" cm="1">
        <f t="array" ref="I219">(Teams[[#This Row],[remaining]]+60)*Teams[[#This Row],[winners alt]]/_xlfn.XLOOKUP(1,(Table1[year]=Teams[[#This Row],[year]])*(Table1[division]=Teams[[#This Row],[division]]),Table1[available]) +50</f>
        <v>287.69256756756761</v>
      </c>
    </row>
    <row r="220" spans="1:9" x14ac:dyDescent="0.3">
      <c r="A220" t="s">
        <v>10</v>
      </c>
      <c r="B220">
        <v>3</v>
      </c>
      <c r="C220">
        <v>2022</v>
      </c>
      <c r="D220">
        <v>3</v>
      </c>
      <c r="E220" s="1">
        <v>0.48402777777777778</v>
      </c>
      <c r="F220" s="1">
        <f>AVERAGEIFS(Teams[finish],Teams[year],Teams[[#This Row],[year]],Teams[division],Teams[[#This Row],[division]],Teams[college],"&lt;&gt;Div *")</f>
        <v>0.4851388888888889</v>
      </c>
      <c r="G220" s="7" cm="1">
        <f t="array" ref="G220">MOD(Teams[[#This Row],[winners]]-_xlfn.XLOOKUP(1,(Table1[year]=Teams[[#This Row],[year]])*(Table1[division]=Teams[[#This Row],[division]]),Table1[drop]),1)*1440</f>
        <v>608.6</v>
      </c>
      <c r="H220" s="7">
        <f>(_xlfn.XLOOKUP(Teams[[#This Row],[year]],Table1[year],Table1[cutoff])-Teams[[#This Row],[finish]])*1440</f>
        <v>293</v>
      </c>
      <c r="I220" s="6" cm="1">
        <f t="array" ref="I220">(Teams[[#This Row],[remaining]]+60)*Teams[[#This Row],[winners alt]]/_xlfn.XLOOKUP(1,(Table1[year]=Teams[[#This Row],[year]])*(Table1[division]=Teams[[#This Row],[division]]),Table1[available]) +50</f>
        <v>288.70644444444446</v>
      </c>
    </row>
    <row r="221" spans="1:9" x14ac:dyDescent="0.3">
      <c r="A221" t="s">
        <v>10</v>
      </c>
      <c r="B221">
        <v>6</v>
      </c>
      <c r="C221">
        <v>2022</v>
      </c>
      <c r="D221">
        <v>3</v>
      </c>
      <c r="E221" s="1">
        <v>0.49583333333333335</v>
      </c>
      <c r="F221" s="1">
        <f>AVERAGEIFS(Teams[finish],Teams[year],Teams[[#This Row],[year]],Teams[division],Teams[[#This Row],[division]],Teams[college],"&lt;&gt;Div *")</f>
        <v>0.55651041666666667</v>
      </c>
      <c r="G221" s="7" cm="1">
        <f t="array" ref="G221">MOD(Teams[[#This Row],[winners]]-_xlfn.XLOOKUP(1,(Table1[year]=Teams[[#This Row],[year]])*(Table1[division]=Teams[[#This Row],[division]]),Table1[drop]),1)*1440</f>
        <v>471.37500000000006</v>
      </c>
      <c r="H221" s="7">
        <f>(_xlfn.XLOOKUP(Teams[[#This Row],[year]],Table1[year],Table1[cutoff])-Teams[[#This Row],[finish]])*1440</f>
        <v>276</v>
      </c>
      <c r="I221" s="6" cm="1">
        <f t="array" ref="I221">(Teams[[#This Row],[remaining]]+60)*Teams[[#This Row],[winners alt]]/_xlfn.XLOOKUP(1,(Table1[year]=Teams[[#This Row],[year]])*(Table1[division]=Teams[[#This Row],[division]]),Table1[available]) +50</f>
        <v>289.9727272727273</v>
      </c>
    </row>
    <row r="222" spans="1:9" x14ac:dyDescent="0.3">
      <c r="A222" t="s">
        <v>241</v>
      </c>
      <c r="B222">
        <v>7</v>
      </c>
      <c r="C222">
        <v>2023</v>
      </c>
      <c r="D222">
        <v>2</v>
      </c>
      <c r="E222" s="2">
        <v>0.51597222222222228</v>
      </c>
      <c r="F222" s="2">
        <f>AVERAGEIFS(Teams[finish],Teams[year],Teams[[#This Row],[year]],Teams[division],Teams[[#This Row],[division]],Teams[college],"&lt;&gt;Div *")</f>
        <v>0.57826388888888891</v>
      </c>
      <c r="G222" s="8" cm="1">
        <f t="array" ref="G222">MOD(Teams[[#This Row],[winners]]-_xlfn.XLOOKUP(1,(Table1[year]=Teams[[#This Row],[year]])*(Table1[division]=Teams[[#This Row],[division]]),Table1[drop]),1)*1440</f>
        <v>620.69999999999993</v>
      </c>
      <c r="H222" s="8">
        <f>(_xlfn.XLOOKUP(Teams[[#This Row],[year]],Table1[year],Table1[cutoff])-Teams[[#This Row],[finish]])*1440</f>
        <v>246.99999999999991</v>
      </c>
      <c r="I222" s="6" cm="1">
        <f t="array" ref="I222">(Teams[[#This Row],[remaining]]+60)*Teams[[#This Row],[winners alt]]/_xlfn.XLOOKUP(1,(Table1[year]=Teams[[#This Row],[year]])*(Table1[division]=Teams[[#This Row],[division]]),Table1[available]) +50</f>
        <v>294.9291773778919</v>
      </c>
    </row>
    <row r="223" spans="1:9" x14ac:dyDescent="0.3">
      <c r="A223" t="s">
        <v>19</v>
      </c>
      <c r="B223">
        <v>6</v>
      </c>
      <c r="C223">
        <v>2022</v>
      </c>
      <c r="D223">
        <v>2</v>
      </c>
      <c r="E223" s="1">
        <v>0.49027777777777781</v>
      </c>
      <c r="F223" s="1">
        <f>AVERAGEIFS(Teams[finish],Teams[year],Teams[[#This Row],[year]],Teams[division],Teams[[#This Row],[division]],Teams[college],"&lt;&gt;Div *")</f>
        <v>0.55651041666666667</v>
      </c>
      <c r="G223" s="7" cm="1">
        <f t="array" ref="G223">MOD(Teams[[#This Row],[winners]]-_xlfn.XLOOKUP(1,(Table1[year]=Teams[[#This Row],[year]])*(Table1[division]=Teams[[#This Row],[division]]),Table1[drop]),1)*1440</f>
        <v>471.37500000000006</v>
      </c>
      <c r="H223" s="7">
        <f>(_xlfn.XLOOKUP(Teams[[#This Row],[year]],Table1[year],Table1[cutoff])-Teams[[#This Row],[finish]])*1440</f>
        <v>283.99999999999994</v>
      </c>
      <c r="I223" s="6" cm="1">
        <f t="array" ref="I223">(Teams[[#This Row],[remaining]]+60)*Teams[[#This Row],[winners alt]]/_xlfn.XLOOKUP(1,(Table1[year]=Teams[[#This Row],[year]])*(Table1[division]=Teams[[#This Row],[division]]),Table1[available]) +50</f>
        <v>295.68636363636364</v>
      </c>
    </row>
    <row r="224" spans="1:9" x14ac:dyDescent="0.3">
      <c r="A224" t="s">
        <v>123</v>
      </c>
      <c r="B224">
        <v>7</v>
      </c>
      <c r="C224">
        <v>2023</v>
      </c>
      <c r="D224">
        <v>5</v>
      </c>
      <c r="E224" s="2">
        <v>0.57777777777777772</v>
      </c>
      <c r="F224" s="2">
        <f>AVERAGEIFS(Teams[finish],Teams[year],Teams[[#This Row],[year]],Teams[division],Teams[[#This Row],[division]],Teams[college],"&lt;&gt;Div *")</f>
        <v>0.57826388888888891</v>
      </c>
      <c r="G224" s="8" cm="1">
        <f t="array" ref="G224">MOD(Teams[[#This Row],[winners]]-_xlfn.XLOOKUP(1,(Table1[year]=Teams[[#This Row],[year]])*(Table1[division]=Teams[[#This Row],[division]]),Table1[drop]),1)*1440</f>
        <v>620.69999999999993</v>
      </c>
      <c r="H224" s="8">
        <f>(_xlfn.XLOOKUP(Teams[[#This Row],[year]],Table1[year],Table1[cutoff])-Teams[[#This Row],[finish]])*1440</f>
        <v>158.00000000000009</v>
      </c>
      <c r="I224" s="6" cm="1">
        <f t="array" ref="I224">(Teams[[#This Row],[remaining]]+60)*Teams[[#This Row],[winners alt]]/_xlfn.XLOOKUP(1,(Table1[year]=Teams[[#This Row],[year]])*(Table1[division]=Teams[[#This Row],[division]]),Table1[available]) +50</f>
        <v>223.92365038560416</v>
      </c>
    </row>
    <row r="225" spans="1:9" x14ac:dyDescent="0.3">
      <c r="A225" t="s">
        <v>250</v>
      </c>
      <c r="B225">
        <v>3</v>
      </c>
      <c r="C225">
        <v>2024</v>
      </c>
      <c r="D225">
        <v>1</v>
      </c>
      <c r="E225" s="1">
        <v>0.55833333333333335</v>
      </c>
      <c r="F225" s="1">
        <f>AVERAGEIFS(Teams[finish],Teams[year],Teams[[#This Row],[year]],Teams[division],Teams[[#This Row],[division]],Teams[college],"&lt;&gt;Div *")</f>
        <v>0.63777777777777778</v>
      </c>
      <c r="G225" s="7" cm="1">
        <f t="array" ref="G225">MOD(Teams[[#This Row],[winners]]-_xlfn.XLOOKUP(1,(Table1[year]=Teams[[#This Row],[year]])*(Table1[division]=Teams[[#This Row],[division]]),Table1[drop]),1)*1440</f>
        <v>938.4</v>
      </c>
      <c r="H225" s="7">
        <f>(_xlfn.XLOOKUP(Teams[[#This Row],[year]],Table1[year],Table1[cutoff])-Teams[[#This Row],[finish]])*1440</f>
        <v>216.00000000000003</v>
      </c>
      <c r="I225" s="6" cm="1">
        <f t="array" ref="I225">(Teams[[#This Row],[remaining]]+60)*Teams[[#This Row],[winners alt]]/_xlfn.XLOOKUP(1,(Table1[year]=Teams[[#This Row],[year]])*(Table1[division]=Teams[[#This Row],[division]]),Table1[available]) +50</f>
        <v>299.03692307692307</v>
      </c>
    </row>
    <row r="226" spans="1:9" x14ac:dyDescent="0.3">
      <c r="A226" t="s">
        <v>123</v>
      </c>
      <c r="B226">
        <v>6</v>
      </c>
      <c r="C226">
        <v>2024</v>
      </c>
      <c r="D226">
        <v>5</v>
      </c>
      <c r="E226" s="2">
        <v>0.64444444444444449</v>
      </c>
      <c r="F226" s="2">
        <f>AVERAGEIFS(Teams[finish],Teams[year],Teams[[#This Row],[year]],Teams[division],Teams[[#This Row],[division]],Teams[college],"&lt;&gt;Div *")</f>
        <v>0.62</v>
      </c>
      <c r="G226" s="8" cm="1">
        <f t="array" ref="G226">MOD(Teams[[#This Row],[winners]]-_xlfn.XLOOKUP(1,(Table1[year]=Teams[[#This Row],[year]])*(Table1[division]=Teams[[#This Row],[division]]),Table1[drop]),1)*1440</f>
        <v>740.80000000000007</v>
      </c>
      <c r="H226" s="8">
        <f>(_xlfn.XLOOKUP(Teams[[#This Row],[year]],Table1[year],Table1[cutoff])-Teams[[#This Row],[finish]])*1440</f>
        <v>92</v>
      </c>
      <c r="I226" s="6" cm="1">
        <f t="array" ref="I226">(Teams[[#This Row],[remaining]]+60)*Teams[[#This Row],[winners alt]]/_xlfn.XLOOKUP(1,(Table1[year]=Teams[[#This Row],[year]])*(Table1[division]=Teams[[#This Row],[division]]),Table1[available]) +50</f>
        <v>179.72534562211982</v>
      </c>
    </row>
    <row r="227" spans="1:9" x14ac:dyDescent="0.3">
      <c r="A227" t="s">
        <v>132</v>
      </c>
      <c r="B227">
        <v>7</v>
      </c>
      <c r="C227">
        <v>2025</v>
      </c>
      <c r="D227">
        <v>2</v>
      </c>
      <c r="E227" s="2">
        <v>0.48402777777777778</v>
      </c>
      <c r="F227" s="2">
        <f>AVERAGEIFS(Teams[finish],Teams[year],Teams[[#This Row],[year]],Teams[division],Teams[[#This Row],[division]],Teams[college],"&lt;&gt;Div *")</f>
        <v>0.53510101010101008</v>
      </c>
      <c r="G227" s="8" cm="1">
        <f t="array" ref="G227">MOD(Teams[[#This Row],[winners]]-_xlfn.XLOOKUP(1,(Table1[year]=Teams[[#This Row],[year]])*(Table1[division]=Teams[[#This Row],[division]]),Table1[drop]),1)*1440</f>
        <v>470.54545454545445</v>
      </c>
      <c r="H227" s="8">
        <f>(_xlfn.XLOOKUP(Teams[[#This Row],[year]],Table1[year],Table1[cutoff])-Teams[[#This Row],[finish]])*1440</f>
        <v>323.00000000000006</v>
      </c>
      <c r="I227" s="6" cm="1">
        <f t="array" ref="I227">(Teams[[#This Row],[remaining]]+60)*Teams[[#This Row],[winners alt]]/_xlfn.XLOOKUP(1,(Table1[year]=Teams[[#This Row],[year]])*(Table1[division]=Teams[[#This Row],[division]]),Table1[available]) +50</f>
        <v>300.30404040404039</v>
      </c>
    </row>
    <row r="228" spans="1:9" x14ac:dyDescent="0.3">
      <c r="A228" t="s">
        <v>48</v>
      </c>
      <c r="B228">
        <v>1</v>
      </c>
      <c r="C228">
        <v>2024</v>
      </c>
      <c r="D228">
        <v>3</v>
      </c>
      <c r="E228" s="2">
        <v>0.55138888888888893</v>
      </c>
      <c r="F228" s="2">
        <f>AVERAGEIFS(Teams[finish],Teams[year],Teams[[#This Row],[year]],Teams[division],Teams[[#This Row],[division]],Teams[college],"&lt;&gt;Div *")</f>
        <v>0.60277777777777775</v>
      </c>
      <c r="G228" s="8" cm="1">
        <f t="array" ref="G228">MOD(Teams[[#This Row],[winners]]-_xlfn.XLOOKUP(1,(Table1[year]=Teams[[#This Row],[year]])*(Table1[division]=Teams[[#This Row],[division]]),Table1[drop]),1)*1440</f>
        <v>1084</v>
      </c>
      <c r="H228" s="8">
        <f>(_xlfn.XLOOKUP(Teams[[#This Row],[year]],Table1[year],Table1[cutoff])-Teams[[#This Row],[finish]])*1440</f>
        <v>226</v>
      </c>
      <c r="I228" s="6" cm="1">
        <f t="array" ref="I228">(Teams[[#This Row],[remaining]]+60)*Teams[[#This Row],[winners alt]]/_xlfn.XLOOKUP(1,(Table1[year]=Teams[[#This Row],[year]])*(Table1[division]=Teams[[#This Row],[division]]),Table1[available]) +50</f>
        <v>300.82847896440126</v>
      </c>
    </row>
    <row r="229" spans="1:9" x14ac:dyDescent="0.3">
      <c r="A229" t="s">
        <v>137</v>
      </c>
      <c r="B229">
        <v>2</v>
      </c>
      <c r="C229">
        <v>2024</v>
      </c>
      <c r="D229">
        <v>3</v>
      </c>
      <c r="E229" s="2">
        <v>0.52916666666666667</v>
      </c>
      <c r="F229" s="2">
        <f>AVERAGEIFS(Teams[finish],Teams[year],Teams[[#This Row],[year]],Teams[division],Teams[[#This Row],[division]],Teams[college],"&lt;&gt;Div *")</f>
        <v>0.54940476190476184</v>
      </c>
      <c r="G229" s="8" cm="1">
        <f t="array" ref="G229">MOD(Teams[[#This Row],[winners]]-_xlfn.XLOOKUP(1,(Table1[year]=Teams[[#This Row],[year]])*(Table1[division]=Teams[[#This Row],[division]]),Table1[drop]),1)*1440</f>
        <v>876.14285714285711</v>
      </c>
      <c r="H229" s="8">
        <f>(_xlfn.XLOOKUP(Teams[[#This Row],[year]],Table1[year],Table1[cutoff])-Teams[[#This Row],[finish]])*1440</f>
        <v>258.00000000000006</v>
      </c>
      <c r="I229" s="6" cm="1">
        <f t="array" ref="I229">(Teams[[#This Row],[remaining]]+60)*Teams[[#This Row],[winners alt]]/_xlfn.XLOOKUP(1,(Table1[year]=Teams[[#This Row],[year]])*(Table1[division]=Teams[[#This Row],[division]]),Table1[available]) +50</f>
        <v>302.13884938590826</v>
      </c>
    </row>
    <row r="230" spans="1:9" x14ac:dyDescent="0.3">
      <c r="A230" t="s">
        <v>48</v>
      </c>
      <c r="B230">
        <v>1</v>
      </c>
      <c r="C230">
        <v>2025</v>
      </c>
      <c r="D230">
        <v>3</v>
      </c>
      <c r="E230" s="2">
        <v>0.54652777777777772</v>
      </c>
      <c r="F230" s="2">
        <f>AVERAGEIFS(Teams[finish],Teams[year],Teams[[#This Row],[year]],Teams[division],Teams[[#This Row],[division]],Teams[college],"&lt;&gt;Div *")</f>
        <v>0.58533950617283947</v>
      </c>
      <c r="G230" s="8" cm="1">
        <f t="array" ref="G230">MOD(Teams[[#This Row],[winners]]-_xlfn.XLOOKUP(1,(Table1[year]=Teams[[#This Row],[year]])*(Table1[division]=Teams[[#This Row],[division]]),Table1[drop]),1)*1440</f>
        <v>1129.8888888888887</v>
      </c>
      <c r="H230" s="8">
        <f>(_xlfn.XLOOKUP(Teams[[#This Row],[year]],Table1[year],Table1[cutoff])-Teams[[#This Row],[finish]])*1440</f>
        <v>233.00000000000014</v>
      </c>
      <c r="I230" s="6" cm="1">
        <f t="array" ref="I230">(Teams[[#This Row],[remaining]]+60)*Teams[[#This Row],[winners alt]]/_xlfn.XLOOKUP(1,(Table1[year]=Teams[[#This Row],[year]])*(Table1[division]=Teams[[#This Row],[division]]),Table1[available]) +50</f>
        <v>303.29567287256657</v>
      </c>
    </row>
    <row r="231" spans="1:9" x14ac:dyDescent="0.3">
      <c r="A231" t="s">
        <v>137</v>
      </c>
      <c r="B231">
        <v>4</v>
      </c>
      <c r="C231">
        <v>2023</v>
      </c>
      <c r="D231">
        <v>1</v>
      </c>
      <c r="E231" s="1">
        <v>0.52777777777777779</v>
      </c>
      <c r="F231" s="1">
        <f>AVERAGEIFS(Teams[finish],Teams[year],Teams[[#This Row],[year]],Teams[division],Teams[[#This Row],[division]],Teams[college],"&lt;&gt;Div *")</f>
        <v>0.59335317460317449</v>
      </c>
      <c r="G231" s="7" cm="1">
        <f t="array" ref="G231">MOD(Teams[[#This Row],[winners]]-_xlfn.XLOOKUP(1,(Table1[year]=Teams[[#This Row],[year]])*(Table1[division]=Teams[[#This Row],[division]]),Table1[drop]),1)*1440</f>
        <v>944.42857142857122</v>
      </c>
      <c r="H231" s="7">
        <f>(_xlfn.XLOOKUP(Teams[[#This Row],[year]],Table1[year],Table1[cutoff])-Teams[[#This Row],[finish]])*1440</f>
        <v>229.99999999999997</v>
      </c>
      <c r="I231" s="6" cm="1">
        <f t="array" ref="I231">(Teams[[#This Row],[remaining]]+60)*Teams[[#This Row],[winners alt]]/_xlfn.XLOOKUP(1,(Table1[year]=Teams[[#This Row],[year]])*(Table1[division]=Teams[[#This Row],[division]]),Table1[available]) +50</f>
        <v>303.59656084656081</v>
      </c>
    </row>
    <row r="232" spans="1:9" x14ac:dyDescent="0.3">
      <c r="A232" t="s">
        <v>15</v>
      </c>
      <c r="B232">
        <v>7</v>
      </c>
      <c r="C232">
        <v>2023</v>
      </c>
      <c r="D232">
        <v>1</v>
      </c>
      <c r="E232" s="2">
        <v>0.50763888888888886</v>
      </c>
      <c r="F232" s="2">
        <f>AVERAGEIFS(Teams[finish],Teams[year],Teams[[#This Row],[year]],Teams[division],Teams[[#This Row],[division]],Teams[college],"&lt;&gt;Div *")</f>
        <v>0.57826388888888891</v>
      </c>
      <c r="G232" s="8" cm="1">
        <f t="array" ref="G232">MOD(Teams[[#This Row],[winners]]-_xlfn.XLOOKUP(1,(Table1[year]=Teams[[#This Row],[year]])*(Table1[division]=Teams[[#This Row],[division]]),Table1[drop]),1)*1440</f>
        <v>620.69999999999993</v>
      </c>
      <c r="H232" s="8">
        <f>(_xlfn.XLOOKUP(Teams[[#This Row],[year]],Table1[year],Table1[cutoff])-Teams[[#This Row],[finish]])*1440</f>
        <v>259.00000000000006</v>
      </c>
      <c r="I232" s="6" cm="1">
        <f t="array" ref="I232">(Teams[[#This Row],[remaining]]+60)*Teams[[#This Row],[winners alt]]/_xlfn.XLOOKUP(1,(Table1[year]=Teams[[#This Row],[year]])*(Table1[division]=Teams[[#This Row],[division]]),Table1[available]) +50</f>
        <v>304.5029562982005</v>
      </c>
    </row>
    <row r="233" spans="1:9" x14ac:dyDescent="0.3">
      <c r="A233" t="s">
        <v>123</v>
      </c>
      <c r="B233">
        <v>1</v>
      </c>
      <c r="C233">
        <v>2025</v>
      </c>
      <c r="D233">
        <v>7</v>
      </c>
      <c r="E233" s="2">
        <v>0.65625</v>
      </c>
      <c r="F233" s="2">
        <f>AVERAGEIFS(Teams[finish],Teams[year],Teams[[#This Row],[year]],Teams[division],Teams[[#This Row],[division]],Teams[college],"&lt;&gt;Div *")</f>
        <v>0.58533950617283947</v>
      </c>
      <c r="G233" s="8" cm="1">
        <f t="array" ref="G233">MOD(Teams[[#This Row],[winners]]-_xlfn.XLOOKUP(1,(Table1[year]=Teams[[#This Row],[year]])*(Table1[division]=Teams[[#This Row],[division]]),Table1[drop]),1)*1440</f>
        <v>1129.8888888888887</v>
      </c>
      <c r="H233" s="8">
        <f>(_xlfn.XLOOKUP(Teams[[#This Row],[year]],Table1[year],Table1[cutoff])-Teams[[#This Row],[finish]])*1440</f>
        <v>75.000000000000057</v>
      </c>
      <c r="I233" s="6" cm="1">
        <f t="array" ref="I233">(Teams[[#This Row],[remaining]]+60)*Teams[[#This Row],[winners alt]]/_xlfn.XLOOKUP(1,(Table1[year]=Teams[[#This Row],[year]])*(Table1[division]=Teams[[#This Row],[division]]),Table1[available]) +50</f>
        <v>166.70619739862281</v>
      </c>
    </row>
    <row r="234" spans="1:9" x14ac:dyDescent="0.3">
      <c r="A234" t="s">
        <v>123</v>
      </c>
      <c r="B234">
        <v>4</v>
      </c>
      <c r="C234">
        <v>2023</v>
      </c>
      <c r="D234">
        <v>6</v>
      </c>
      <c r="E234" s="1">
        <v>0.63888888888888884</v>
      </c>
      <c r="F234" s="1">
        <f>AVERAGEIFS(Teams[finish],Teams[year],Teams[[#This Row],[year]],Teams[division],Teams[[#This Row],[division]],Teams[college],"&lt;&gt;Div *")</f>
        <v>0.59335317460317449</v>
      </c>
      <c r="G234" s="7" cm="1">
        <f t="array" ref="G234">MOD(Teams[[#This Row],[winners]]-_xlfn.XLOOKUP(1,(Table1[year]=Teams[[#This Row],[year]])*(Table1[division]=Teams[[#This Row],[division]]),Table1[drop]),1)*1440</f>
        <v>944.42857142857122</v>
      </c>
      <c r="H234" s="7">
        <f>(_xlfn.XLOOKUP(Teams[[#This Row],[year]],Table1[year],Table1[cutoff])-Teams[[#This Row],[finish]])*1440</f>
        <v>70.000000000000071</v>
      </c>
      <c r="I234" s="6" cm="1">
        <f t="array" ref="I234">(Teams[[#This Row],[remaining]]+60)*Teams[[#This Row],[winners alt]]/_xlfn.XLOOKUP(1,(Table1[year]=Teams[[#This Row],[year]])*(Table1[division]=Teams[[#This Row],[division]]),Table1[available]) +50</f>
        <v>163.68121693121697</v>
      </c>
    </row>
    <row r="235" spans="1:9" x14ac:dyDescent="0.3">
      <c r="A235" t="s">
        <v>132</v>
      </c>
      <c r="B235">
        <v>2</v>
      </c>
      <c r="C235">
        <v>2025</v>
      </c>
      <c r="D235">
        <v>2</v>
      </c>
      <c r="E235" s="2">
        <v>0.53541666666666665</v>
      </c>
      <c r="F235" s="2">
        <f>AVERAGEIFS(Teams[finish],Teams[year],Teams[[#This Row],[year]],Teams[division],Teams[[#This Row],[division]],Teams[college],"&lt;&gt;Div *")</f>
        <v>0.56967592592592586</v>
      </c>
      <c r="G235" s="8" cm="1">
        <f t="array" ref="G235">MOD(Teams[[#This Row],[winners]]-_xlfn.XLOOKUP(1,(Table1[year]=Teams[[#This Row],[year]])*(Table1[division]=Teams[[#This Row],[division]]),Table1[drop]),1)*1440</f>
        <v>1064.3333333333333</v>
      </c>
      <c r="H235" s="8">
        <f>(_xlfn.XLOOKUP(Teams[[#This Row],[year]],Table1[year],Table1[cutoff])-Teams[[#This Row],[finish]])*1440</f>
        <v>249.00000000000009</v>
      </c>
      <c r="I235" s="6" cm="1">
        <f t="array" ref="I235">(Teams[[#This Row],[remaining]]+60)*Teams[[#This Row],[winners alt]]/_xlfn.XLOOKUP(1,(Table1[year]=Teams[[#This Row],[year]])*(Table1[division]=Teams[[#This Row],[division]]),Table1[available]) +50</f>
        <v>310.18908227848112</v>
      </c>
    </row>
    <row r="236" spans="1:9" x14ac:dyDescent="0.3">
      <c r="A236" t="s">
        <v>132</v>
      </c>
      <c r="B236">
        <v>3</v>
      </c>
      <c r="C236">
        <v>2025</v>
      </c>
      <c r="D236">
        <v>4</v>
      </c>
      <c r="E236" s="2">
        <v>0.53541666666666665</v>
      </c>
      <c r="F236" s="2">
        <f>AVERAGEIFS(Teams[finish],Teams[year],Teams[[#This Row],[year]],Teams[division],Teams[[#This Row],[division]],Teams[college],"&lt;&gt;Div *")</f>
        <v>0.56753472222222223</v>
      </c>
      <c r="G236" s="8" cm="1">
        <f t="array" ref="G236">MOD(Teams[[#This Row],[winners]]-_xlfn.XLOOKUP(1,(Table1[year]=Teams[[#This Row],[year]])*(Table1[division]=Teams[[#This Row],[division]]),Table1[drop]),1)*1440</f>
        <v>997.25</v>
      </c>
      <c r="H236" s="8">
        <f>(_xlfn.XLOOKUP(Teams[[#This Row],[year]],Table1[year],Table1[cutoff])-Teams[[#This Row],[finish]])*1440</f>
        <v>249.00000000000009</v>
      </c>
      <c r="I236" s="6" cm="1">
        <f t="array" ref="I236">(Teams[[#This Row],[remaining]]+60)*Teams[[#This Row],[winners alt]]/_xlfn.XLOOKUP(1,(Table1[year]=Teams[[#This Row],[year]])*(Table1[division]=Teams[[#This Row],[division]]),Table1[available]) +50</f>
        <v>306.79187500000012</v>
      </c>
    </row>
    <row r="237" spans="1:9" x14ac:dyDescent="0.3">
      <c r="A237" t="s">
        <v>754</v>
      </c>
      <c r="B237">
        <v>6</v>
      </c>
      <c r="C237">
        <v>2025</v>
      </c>
      <c r="D237" t="s">
        <v>735</v>
      </c>
      <c r="E237" s="1">
        <v>0.53194444444444444</v>
      </c>
      <c r="F237" s="1">
        <f>AVERAGEIFS(Teams[finish],Teams[year],Teams[[#This Row],[year]],Teams[division],Teams[[#This Row],[division]],Teams[college],"&lt;&gt;Div *")</f>
        <v>0.57067901234567897</v>
      </c>
      <c r="G237" s="7" cm="1">
        <f t="array" ref="G237">MOD(Teams[[#This Row],[winners]]-_xlfn.XLOOKUP(1,(Table1[year]=Teams[[#This Row],[year]])*(Table1[division]=Teams[[#This Row],[division]]),Table1[drop]),1)*1440</f>
        <v>699.77777777777771</v>
      </c>
      <c r="H237" s="7">
        <f>(_xlfn.XLOOKUP(Teams[[#This Row],[year]],Table1[year],Table1[cutoff])-Teams[[#This Row],[finish]])*1440</f>
        <v>254.00000000000006</v>
      </c>
      <c r="I237" s="6" cm="1">
        <f t="array" ref="I237">(Teams[[#This Row],[remaining]]+60)*Teams[[#This Row],[winners alt]]/_xlfn.XLOOKUP(1,(Table1[year]=Teams[[#This Row],[year]])*(Table1[division]=Teams[[#This Row],[division]]),Table1[available]) +50</f>
        <v>294.68844345459047</v>
      </c>
    </row>
    <row r="238" spans="1:9" x14ac:dyDescent="0.3">
      <c r="A238" t="s">
        <v>755</v>
      </c>
      <c r="B238">
        <v>5</v>
      </c>
      <c r="C238">
        <v>2025</v>
      </c>
      <c r="D238" t="s">
        <v>735</v>
      </c>
      <c r="E238" s="1">
        <v>0.50208333333333333</v>
      </c>
      <c r="F238" s="1">
        <f>AVERAGEIFS(Teams[finish],Teams[year],Teams[[#This Row],[year]],Teams[division],Teams[[#This Row],[division]],Teams[college],"&lt;&gt;Div *")</f>
        <v>0.51717171717171717</v>
      </c>
      <c r="G238" s="7" cm="1">
        <f t="array" ref="G238">MOD(Teams[[#This Row],[winners]]-_xlfn.XLOOKUP(1,(Table1[year]=Teams[[#This Row],[year]])*(Table1[division]=Teams[[#This Row],[division]]),Table1[drop]),1)*1440</f>
        <v>741.72727272727275</v>
      </c>
      <c r="H238" s="7">
        <f>(_xlfn.XLOOKUP(Teams[[#This Row],[year]],Table1[year],Table1[cutoff])-Teams[[#This Row],[finish]])*1440</f>
        <v>297.00000000000006</v>
      </c>
      <c r="I238" s="6" cm="1">
        <f t="array" ref="I238">(Teams[[#This Row],[remaining]]+60)*Teams[[#This Row],[winners alt]]/_xlfn.XLOOKUP(1,(Table1[year]=Teams[[#This Row],[year]])*(Table1[division]=Teams[[#This Row],[division]]),Table1[available]) +50</f>
        <v>310.37034057388041</v>
      </c>
    </row>
    <row r="239" spans="1:9" x14ac:dyDescent="0.3">
      <c r="A239" t="s">
        <v>15</v>
      </c>
      <c r="B239">
        <v>5</v>
      </c>
      <c r="C239">
        <v>2025</v>
      </c>
      <c r="D239">
        <v>6</v>
      </c>
      <c r="E239" s="2">
        <v>0.49652777777777779</v>
      </c>
      <c r="F239" s="2">
        <f>AVERAGEIFS(Teams[finish],Teams[year],Teams[[#This Row],[year]],Teams[division],Teams[[#This Row],[division]],Teams[college],"&lt;&gt;Div *")</f>
        <v>0.51717171717171717</v>
      </c>
      <c r="G239" s="8" cm="1">
        <f t="array" ref="G239">MOD(Teams[[#This Row],[winners]]-_xlfn.XLOOKUP(1,(Table1[year]=Teams[[#This Row],[year]])*(Table1[division]=Teams[[#This Row],[division]]),Table1[drop]),1)*1440</f>
        <v>741.72727272727275</v>
      </c>
      <c r="H239" s="8">
        <f>(_xlfn.XLOOKUP(Teams[[#This Row],[year]],Table1[year],Table1[cutoff])-Teams[[#This Row],[finish]])*1440</f>
        <v>305.00000000000006</v>
      </c>
      <c r="I239" s="6" cm="1">
        <f t="array" ref="I239">(Teams[[#This Row],[remaining]]+60)*Teams[[#This Row],[winners alt]]/_xlfn.XLOOKUP(1,(Table1[year]=Teams[[#This Row],[year]])*(Table1[division]=Teams[[#This Row],[division]]),Table1[available]) +50</f>
        <v>316.20497005452756</v>
      </c>
    </row>
    <row r="240" spans="1:9" x14ac:dyDescent="0.3">
      <c r="A240" t="s">
        <v>5</v>
      </c>
      <c r="B240">
        <v>3</v>
      </c>
      <c r="C240">
        <v>2025</v>
      </c>
      <c r="D240">
        <v>3</v>
      </c>
      <c r="E240" s="2">
        <v>0.52708333333333335</v>
      </c>
      <c r="F240" s="2">
        <f>AVERAGEIFS(Teams[finish],Teams[year],Teams[[#This Row],[year]],Teams[division],Teams[[#This Row],[division]],Teams[college],"&lt;&gt;Div *")</f>
        <v>0.56753472222222223</v>
      </c>
      <c r="G240" s="8" cm="1">
        <f t="array" ref="G240">MOD(Teams[[#This Row],[winners]]-_xlfn.XLOOKUP(1,(Table1[year]=Teams[[#This Row],[year]])*(Table1[division]=Teams[[#This Row],[division]]),Table1[drop]),1)*1440</f>
        <v>997.25</v>
      </c>
      <c r="H240" s="8">
        <f>(_xlfn.XLOOKUP(Teams[[#This Row],[year]],Table1[year],Table1[cutoff])-Teams[[#This Row],[finish]])*1440</f>
        <v>261.00000000000006</v>
      </c>
      <c r="I240" s="6" cm="1">
        <f t="array" ref="I240">(Teams[[#This Row],[remaining]]+60)*Teams[[#This Row],[winners alt]]/_xlfn.XLOOKUP(1,(Table1[year]=Teams[[#This Row],[year]])*(Table1[division]=Teams[[#This Row],[division]]),Table1[available]) +50</f>
        <v>316.76437500000003</v>
      </c>
    </row>
    <row r="241" spans="1:9" x14ac:dyDescent="0.3">
      <c r="A241" t="s">
        <v>5</v>
      </c>
      <c r="B241">
        <v>2</v>
      </c>
      <c r="C241">
        <v>2024</v>
      </c>
      <c r="D241">
        <v>2</v>
      </c>
      <c r="E241" s="2">
        <v>0.51597222222222228</v>
      </c>
      <c r="F241" s="2">
        <f>AVERAGEIFS(Teams[finish],Teams[year],Teams[[#This Row],[year]],Teams[division],Teams[[#This Row],[division]],Teams[college],"&lt;&gt;Div *")</f>
        <v>0.54940476190476184</v>
      </c>
      <c r="G241" s="8" cm="1">
        <f t="array" ref="G241">MOD(Teams[[#This Row],[winners]]-_xlfn.XLOOKUP(1,(Table1[year]=Teams[[#This Row],[year]])*(Table1[division]=Teams[[#This Row],[division]]),Table1[drop]),1)*1440</f>
        <v>876.14285714285711</v>
      </c>
      <c r="H241" s="8">
        <f>(_xlfn.XLOOKUP(Teams[[#This Row],[year]],Table1[year],Table1[cutoff])-Teams[[#This Row],[finish]])*1440</f>
        <v>277</v>
      </c>
      <c r="I241" s="6" cm="1">
        <f t="array" ref="I241">(Teams[[#This Row],[remaining]]+60)*Teams[[#This Row],[winners alt]]/_xlfn.XLOOKUP(1,(Table1[year]=Teams[[#This Row],[year]])*(Table1[division]=Teams[[#This Row],[division]]),Table1[available]) +50</f>
        <v>317.20374919198446</v>
      </c>
    </row>
    <row r="242" spans="1:9" x14ac:dyDescent="0.3">
      <c r="A242" t="s">
        <v>15</v>
      </c>
      <c r="B242">
        <v>1</v>
      </c>
      <c r="C242">
        <v>2025</v>
      </c>
      <c r="D242">
        <v>2</v>
      </c>
      <c r="E242" s="2">
        <v>0.53333333333333333</v>
      </c>
      <c r="F242" s="2">
        <f>AVERAGEIFS(Teams[finish],Teams[year],Teams[[#This Row],[year]],Teams[division],Teams[[#This Row],[division]],Teams[college],"&lt;&gt;Div *")</f>
        <v>0.58533950617283947</v>
      </c>
      <c r="G242" s="8" cm="1">
        <f t="array" ref="G242">MOD(Teams[[#This Row],[winners]]-_xlfn.XLOOKUP(1,(Table1[year]=Teams[[#This Row],[year]])*(Table1[division]=Teams[[#This Row],[division]]),Table1[drop]),1)*1440</f>
        <v>1129.8888888888887</v>
      </c>
      <c r="H242" s="8">
        <f>(_xlfn.XLOOKUP(Teams[[#This Row],[year]],Table1[year],Table1[cutoff])-Teams[[#This Row],[finish]])*1440</f>
        <v>252.00000000000006</v>
      </c>
      <c r="I242" s="6" cm="1">
        <f t="array" ref="I242">(Teams[[#This Row],[remaining]]+60)*Teams[[#This Row],[winners alt]]/_xlfn.XLOOKUP(1,(Table1[year]=Teams[[#This Row],[year]])*(Table1[division]=Teams[[#This Row],[division]]),Table1[available]) +50</f>
        <v>319.72098954348377</v>
      </c>
    </row>
    <row r="243" spans="1:9" x14ac:dyDescent="0.3">
      <c r="A243" t="s">
        <v>15</v>
      </c>
      <c r="B243">
        <v>1</v>
      </c>
      <c r="C243">
        <v>2023</v>
      </c>
      <c r="D243">
        <v>1</v>
      </c>
      <c r="E243" s="2">
        <v>0.52569444444444446</v>
      </c>
      <c r="F243" s="2">
        <f>AVERAGEIFS(Teams[finish],Teams[year],Teams[[#This Row],[year]],Teams[division],Teams[[#This Row],[division]],Teams[college],"&lt;&gt;Div *")</f>
        <v>0.61898148148148158</v>
      </c>
      <c r="G243" s="8" cm="1">
        <f t="array" ref="G243">MOD(Teams[[#This Row],[winners]]-_xlfn.XLOOKUP(1,(Table1[year]=Teams[[#This Row],[year]])*(Table1[division]=Teams[[#This Row],[division]]),Table1[drop]),1)*1440</f>
        <v>1176.3333333333335</v>
      </c>
      <c r="H243" s="8">
        <f>(_xlfn.XLOOKUP(Teams[[#This Row],[year]],Table1[year],Table1[cutoff])-Teams[[#This Row],[finish]])*1440</f>
        <v>232.99999999999997</v>
      </c>
      <c r="I243" s="6" cm="1">
        <f t="array" ref="I243">(Teams[[#This Row],[remaining]]+60)*Teams[[#This Row],[winners alt]]/_xlfn.XLOOKUP(1,(Table1[year]=Teams[[#This Row],[year]])*(Table1[division]=Teams[[#This Row],[division]]),Table1[available]) +50</f>
        <v>320.32601307189543</v>
      </c>
    </row>
    <row r="244" spans="1:9" x14ac:dyDescent="0.3">
      <c r="A244" t="s">
        <v>266</v>
      </c>
      <c r="B244">
        <v>4</v>
      </c>
      <c r="C244">
        <v>2022</v>
      </c>
      <c r="D244">
        <v>3</v>
      </c>
      <c r="E244" s="1">
        <v>0.44791666666666669</v>
      </c>
      <c r="F244" s="1">
        <f>AVERAGEIFS(Teams[finish],Teams[year],Teams[[#This Row],[year]],Teams[division],Teams[[#This Row],[division]],Teams[college],"&lt;&gt;Div *")</f>
        <v>0.4699652777777778</v>
      </c>
      <c r="G244" s="7" cm="1">
        <f t="array" ref="G244">MOD(Teams[[#This Row],[winners]]-_xlfn.XLOOKUP(1,(Table1[year]=Teams[[#This Row],[year]])*(Table1[division]=Teams[[#This Row],[division]]),Table1[drop]),1)*1440</f>
        <v>586.75</v>
      </c>
      <c r="H244" s="7">
        <f>(_xlfn.XLOOKUP(Teams[[#This Row],[year]],Table1[year],Table1[cutoff])-Teams[[#This Row],[finish]])*1440</f>
        <v>345</v>
      </c>
      <c r="I244" s="6" cm="1">
        <f t="array" ref="I244">(Teams[[#This Row],[remaining]]+60)*Teams[[#This Row],[winners alt]]/_xlfn.XLOOKUP(1,(Table1[year]=Teams[[#This Row],[year]])*(Table1[division]=Teams[[#This Row],[division]]),Table1[available]) +50</f>
        <v>314.03750000000002</v>
      </c>
    </row>
    <row r="245" spans="1:9" x14ac:dyDescent="0.3">
      <c r="A245" t="s">
        <v>15</v>
      </c>
      <c r="B245">
        <v>1</v>
      </c>
      <c r="C245">
        <v>2022</v>
      </c>
      <c r="D245">
        <v>2</v>
      </c>
      <c r="E245" s="1">
        <v>0.48402777777777778</v>
      </c>
      <c r="F245" s="1">
        <f>AVERAGEIFS(Teams[finish],Teams[year],Teams[[#This Row],[year]],Teams[division],Teams[[#This Row],[division]],Teams[college],"&lt;&gt;Div *")</f>
        <v>0.52309027777777772</v>
      </c>
      <c r="G245" s="7" cm="1">
        <f t="array" ref="G245">MOD(Teams[[#This Row],[winners]]-_xlfn.XLOOKUP(1,(Table1[year]=Teams[[#This Row],[year]])*(Table1[division]=Teams[[#This Row],[division]]),Table1[drop]),1)*1440</f>
        <v>811.24999999999989</v>
      </c>
      <c r="H245" s="7">
        <f>(_xlfn.XLOOKUP(Teams[[#This Row],[year]],Table1[year],Table1[cutoff])-Teams[[#This Row],[finish]])*1440</f>
        <v>293</v>
      </c>
      <c r="I245" s="6" cm="1">
        <f t="array" ref="I245">(Teams[[#This Row],[remaining]]+60)*Teams[[#This Row],[winners alt]]/_xlfn.XLOOKUP(1,(Table1[year]=Teams[[#This Row],[year]])*(Table1[division]=Teams[[#This Row],[division]]),Table1[available]) +50</f>
        <v>323.25500954198469</v>
      </c>
    </row>
    <row r="246" spans="1:9" x14ac:dyDescent="0.3">
      <c r="A246" t="s">
        <v>123</v>
      </c>
      <c r="B246">
        <v>3</v>
      </c>
      <c r="C246">
        <v>2022</v>
      </c>
      <c r="D246">
        <v>5</v>
      </c>
      <c r="E246" s="1">
        <v>0.61736111111111114</v>
      </c>
      <c r="F246" s="1">
        <f>AVERAGEIFS(Teams[finish],Teams[year],Teams[[#This Row],[year]],Teams[division],Teams[[#This Row],[division]],Teams[college],"&lt;&gt;Div *")</f>
        <v>0.4851388888888889</v>
      </c>
      <c r="G246" s="7" cm="1">
        <f t="array" ref="G246">MOD(Teams[[#This Row],[winners]]-_xlfn.XLOOKUP(1,(Table1[year]=Teams[[#This Row],[year]])*(Table1[division]=Teams[[#This Row],[division]]),Table1[drop]),1)*1440</f>
        <v>608.6</v>
      </c>
      <c r="H246" s="7">
        <f>(_xlfn.XLOOKUP(Teams[[#This Row],[year]],Table1[year],Table1[cutoff])-Teams[[#This Row],[finish]])*1440</f>
        <v>100.99999999999996</v>
      </c>
      <c r="I246" s="6" cm="1">
        <f t="array" ref="I246">(Teams[[#This Row],[remaining]]+60)*Teams[[#This Row],[winners alt]]/_xlfn.XLOOKUP(1,(Table1[year]=Teams[[#This Row],[year]])*(Table1[division]=Teams[[#This Row],[division]]),Table1[available]) +50</f>
        <v>158.87177777777774</v>
      </c>
    </row>
    <row r="247" spans="1:9" x14ac:dyDescent="0.3">
      <c r="A247" t="s">
        <v>123</v>
      </c>
      <c r="B247">
        <v>7</v>
      </c>
      <c r="C247">
        <v>2025</v>
      </c>
      <c r="D247">
        <v>11</v>
      </c>
      <c r="E247" s="2">
        <v>0.63472222222222219</v>
      </c>
      <c r="F247" s="2">
        <f>AVERAGEIFS(Teams[finish],Teams[year],Teams[[#This Row],[year]],Teams[division],Teams[[#This Row],[division]],Teams[college],"&lt;&gt;Div *")</f>
        <v>0.53510101010101008</v>
      </c>
      <c r="G247" s="8" cm="1">
        <f t="array" ref="G247">MOD(Teams[[#This Row],[winners]]-_xlfn.XLOOKUP(1,(Table1[year]=Teams[[#This Row],[year]])*(Table1[division]=Teams[[#This Row],[division]]),Table1[drop]),1)*1440</f>
        <v>470.54545454545445</v>
      </c>
      <c r="H247" s="8">
        <f>(_xlfn.XLOOKUP(Teams[[#This Row],[year]],Table1[year],Table1[cutoff])-Teams[[#This Row],[finish]])*1440</f>
        <v>106.0000000000001</v>
      </c>
      <c r="I247" s="6" cm="1">
        <f t="array" ref="I247">(Teams[[#This Row],[remaining]]+60)*Teams[[#This Row],[winners alt]]/_xlfn.XLOOKUP(1,(Table1[year]=Teams[[#This Row],[year]])*(Table1[division]=Teams[[#This Row],[division]]),Table1[available]) +50</f>
        <v>158.48686868686872</v>
      </c>
    </row>
    <row r="248" spans="1:9" x14ac:dyDescent="0.3">
      <c r="A248" t="s">
        <v>10</v>
      </c>
      <c r="B248">
        <v>6</v>
      </c>
      <c r="C248">
        <v>2025</v>
      </c>
      <c r="D248">
        <v>3</v>
      </c>
      <c r="E248" s="2">
        <v>0.51597222222222228</v>
      </c>
      <c r="F248" s="2">
        <f>AVERAGEIFS(Teams[finish],Teams[year],Teams[[#This Row],[year]],Teams[division],Teams[[#This Row],[division]],Teams[college],"&lt;&gt;Div *")</f>
        <v>0.57067901234567897</v>
      </c>
      <c r="G248" s="8" cm="1">
        <f t="array" ref="G248">MOD(Teams[[#This Row],[winners]]-_xlfn.XLOOKUP(1,(Table1[year]=Teams[[#This Row],[year]])*(Table1[division]=Teams[[#This Row],[division]]),Table1[drop]),1)*1440</f>
        <v>699.77777777777771</v>
      </c>
      <c r="H248" s="8">
        <f>(_xlfn.XLOOKUP(Teams[[#This Row],[year]],Table1[year],Table1[cutoff])-Teams[[#This Row],[finish]])*1440</f>
        <v>277</v>
      </c>
      <c r="I248" s="6" cm="1">
        <f t="array" ref="I248">(Teams[[#This Row],[remaining]]+60)*Teams[[#This Row],[winners alt]]/_xlfn.XLOOKUP(1,(Table1[year]=Teams[[#This Row],[year]])*(Table1[division]=Teams[[#This Row],[division]]),Table1[available]) +50</f>
        <v>312.61148230635979</v>
      </c>
    </row>
    <row r="249" spans="1:9" x14ac:dyDescent="0.3">
      <c r="A249" t="s">
        <v>123</v>
      </c>
      <c r="B249">
        <v>1</v>
      </c>
      <c r="C249">
        <v>2023</v>
      </c>
      <c r="D249">
        <v>3</v>
      </c>
      <c r="E249" s="1">
        <v>0.67708333333333337</v>
      </c>
      <c r="F249" s="1">
        <f>AVERAGEIFS(Teams[finish],Teams[year],Teams[[#This Row],[year]],Teams[division],Teams[[#This Row],[division]],Teams[college],"&lt;&gt;Div *")</f>
        <v>0.61898148148148158</v>
      </c>
      <c r="G249" s="7" cm="1">
        <f t="array" ref="G249">MOD(Teams[[#This Row],[winners]]-_xlfn.XLOOKUP(1,(Table1[year]=Teams[[#This Row],[year]])*(Table1[division]=Teams[[#This Row],[division]]),Table1[drop]),1)*1440</f>
        <v>1176.3333333333335</v>
      </c>
      <c r="H249" s="7">
        <f>(_xlfn.XLOOKUP(Teams[[#This Row],[year]],Table1[year],Table1[cutoff])-Teams[[#This Row],[finish]])*1440</f>
        <v>14.999999999999947</v>
      </c>
      <c r="I249" s="6" cm="1">
        <f t="array" ref="I249">(Teams[[#This Row],[remaining]]+60)*Teams[[#This Row],[winners alt]]/_xlfn.XLOOKUP(1,(Table1[year]=Teams[[#This Row],[year]])*(Table1[division]=Teams[[#This Row],[division]]),Table1[available]) +50</f>
        <v>119.1960784313725</v>
      </c>
    </row>
    <row r="250" spans="1:9" x14ac:dyDescent="0.3">
      <c r="A250" t="s">
        <v>15</v>
      </c>
      <c r="B250">
        <v>1</v>
      </c>
      <c r="C250">
        <v>2024</v>
      </c>
      <c r="D250">
        <v>2</v>
      </c>
      <c r="E250" s="2">
        <v>0.52638888888888891</v>
      </c>
      <c r="F250" s="2">
        <f>AVERAGEIFS(Teams[finish],Teams[year],Teams[[#This Row],[year]],Teams[division],Teams[[#This Row],[division]],Teams[college],"&lt;&gt;Div *")</f>
        <v>0.60277777777777775</v>
      </c>
      <c r="G250" s="8" cm="1">
        <f t="array" ref="G250">MOD(Teams[[#This Row],[winners]]-_xlfn.XLOOKUP(1,(Table1[year]=Teams[[#This Row],[year]])*(Table1[division]=Teams[[#This Row],[division]]),Table1[drop]),1)*1440</f>
        <v>1084</v>
      </c>
      <c r="H250" s="8">
        <f>(_xlfn.XLOOKUP(Teams[[#This Row],[year]],Table1[year],Table1[cutoff])-Teams[[#This Row],[finish]])*1440</f>
        <v>262</v>
      </c>
      <c r="I250" s="6" cm="1">
        <f t="array" ref="I250">(Teams[[#This Row],[remaining]]+60)*Teams[[#This Row],[winners alt]]/_xlfn.XLOOKUP(1,(Table1[year]=Teams[[#This Row],[year]])*(Table1[division]=Teams[[#This Row],[division]]),Table1[available]) +50</f>
        <v>332.4012944983819</v>
      </c>
    </row>
    <row r="251" spans="1:9" x14ac:dyDescent="0.3">
      <c r="A251" t="s">
        <v>15</v>
      </c>
      <c r="B251">
        <v>2</v>
      </c>
      <c r="C251">
        <v>2023</v>
      </c>
      <c r="D251">
        <v>2</v>
      </c>
      <c r="E251" s="1">
        <v>0.49305555555555558</v>
      </c>
      <c r="F251" s="1">
        <f>AVERAGEIFS(Teams[finish],Teams[year],Teams[[#This Row],[year]],Teams[division],Teams[[#This Row],[division]],Teams[college],"&lt;&gt;Div *")</f>
        <v>0.54902777777777767</v>
      </c>
      <c r="G251" s="7" cm="1">
        <f t="array" ref="G251">MOD(Teams[[#This Row],[winners]]-_xlfn.XLOOKUP(1,(Table1[year]=Teams[[#This Row],[year]])*(Table1[division]=Teams[[#This Row],[division]]),Table1[drop]),1)*1440</f>
        <v>1030.5999999999997</v>
      </c>
      <c r="H251" s="7">
        <f>(_xlfn.XLOOKUP(Teams[[#This Row],[year]],Table1[year],Table1[cutoff])-Teams[[#This Row],[finish]])*1440</f>
        <v>279.99999999999994</v>
      </c>
      <c r="I251" s="6" cm="1">
        <f t="array" ref="I251">(Teams[[#This Row],[remaining]]+60)*Teams[[#This Row],[winners alt]]/_xlfn.XLOOKUP(1,(Table1[year]=Teams[[#This Row],[year]])*(Table1[division]=Teams[[#This Row],[division]]),Table1[available]) +50</f>
        <v>334.88130081300801</v>
      </c>
    </row>
    <row r="252" spans="1:9" x14ac:dyDescent="0.3">
      <c r="A252" t="s">
        <v>137</v>
      </c>
      <c r="B252">
        <v>5</v>
      </c>
      <c r="C252">
        <v>2025</v>
      </c>
      <c r="D252">
        <v>5</v>
      </c>
      <c r="E252" s="2">
        <v>0.47847222222222224</v>
      </c>
      <c r="F252" s="2">
        <f>AVERAGEIFS(Teams[finish],Teams[year],Teams[[#This Row],[year]],Teams[division],Teams[[#This Row],[division]],Teams[college],"&lt;&gt;Div *")</f>
        <v>0.51717171717171717</v>
      </c>
      <c r="G252" s="8" cm="1">
        <f t="array" ref="G252">MOD(Teams[[#This Row],[winners]]-_xlfn.XLOOKUP(1,(Table1[year]=Teams[[#This Row],[year]])*(Table1[division]=Teams[[#This Row],[division]]),Table1[drop]),1)*1440</f>
        <v>741.72727272727275</v>
      </c>
      <c r="H252" s="8">
        <f>(_xlfn.XLOOKUP(Teams[[#This Row],[year]],Table1[year],Table1[cutoff])-Teams[[#This Row],[finish]])*1440</f>
        <v>331</v>
      </c>
      <c r="I252" s="6" cm="1">
        <f t="array" ref="I252">(Teams[[#This Row],[remaining]]+60)*Teams[[#This Row],[winners alt]]/_xlfn.XLOOKUP(1,(Table1[year]=Teams[[#This Row],[year]])*(Table1[division]=Teams[[#This Row],[division]]),Table1[available]) +50</f>
        <v>335.16751586663088</v>
      </c>
    </row>
    <row r="253" spans="1:9" x14ac:dyDescent="0.3">
      <c r="A253" t="s">
        <v>754</v>
      </c>
      <c r="B253">
        <v>4</v>
      </c>
      <c r="C253">
        <v>2023</v>
      </c>
      <c r="D253" t="s">
        <v>735</v>
      </c>
      <c r="E253" s="1">
        <v>0.40416666666666667</v>
      </c>
      <c r="F253" s="1">
        <f>AVERAGEIFS(Teams[finish],Teams[year],Teams[[#This Row],[year]],Teams[division],Teams[[#This Row],[division]],Teams[college],"&lt;&gt;Div *")</f>
        <v>0.59335317460317449</v>
      </c>
      <c r="G253" s="7" cm="1">
        <f t="array" ref="G253">MOD(Teams[[#This Row],[winners]]-_xlfn.XLOOKUP(1,(Table1[year]=Teams[[#This Row],[year]])*(Table1[division]=Teams[[#This Row],[division]]),Table1[drop]),1)*1440</f>
        <v>944.42857142857122</v>
      </c>
      <c r="H253" s="7">
        <f>(_xlfn.XLOOKUP(Teams[[#This Row],[year]],Table1[year],Table1[cutoff])-Teams[[#This Row],[finish]])*1440</f>
        <v>408</v>
      </c>
      <c r="I253" s="6" cm="1">
        <f t="array" ref="I253">(Teams[[#This Row],[remaining]]+60)*Teams[[#This Row],[winners alt]]/_xlfn.XLOOKUP(1,(Table1[year]=Teams[[#This Row],[year]])*(Table1[division]=Teams[[#This Row],[division]]),Table1[available]) +50</f>
        <v>459.25238095238086</v>
      </c>
    </row>
    <row r="254" spans="1:9" x14ac:dyDescent="0.3">
      <c r="A254" t="s">
        <v>5</v>
      </c>
      <c r="B254">
        <v>5</v>
      </c>
      <c r="C254">
        <v>2025</v>
      </c>
      <c r="D254">
        <v>4</v>
      </c>
      <c r="E254" s="2">
        <v>0.47083333333333333</v>
      </c>
      <c r="F254" s="2">
        <f>AVERAGEIFS(Teams[finish],Teams[year],Teams[[#This Row],[year]],Teams[division],Teams[[#This Row],[division]],Teams[college],"&lt;&gt;Div *")</f>
        <v>0.51717171717171717</v>
      </c>
      <c r="G254" s="8" cm="1">
        <f t="array" ref="G254">MOD(Teams[[#This Row],[winners]]-_xlfn.XLOOKUP(1,(Table1[year]=Teams[[#This Row],[year]])*(Table1[division]=Teams[[#This Row],[division]]),Table1[drop]),1)*1440</f>
        <v>741.72727272727275</v>
      </c>
      <c r="H254" s="8">
        <f>(_xlfn.XLOOKUP(Teams[[#This Row],[year]],Table1[year],Table1[cutoff])-Teams[[#This Row],[finish]])*1440</f>
        <v>342.00000000000006</v>
      </c>
      <c r="I254" s="6" cm="1">
        <f t="array" ref="I254">(Teams[[#This Row],[remaining]]+60)*Teams[[#This Row],[winners alt]]/_xlfn.XLOOKUP(1,(Table1[year]=Teams[[#This Row],[year]])*(Table1[division]=Teams[[#This Row],[division]]),Table1[available]) +50</f>
        <v>343.19013140252082</v>
      </c>
    </row>
    <row r="255" spans="1:9" x14ac:dyDescent="0.3">
      <c r="A255" t="s">
        <v>5</v>
      </c>
      <c r="B255">
        <v>2</v>
      </c>
      <c r="C255">
        <v>2025</v>
      </c>
      <c r="D255">
        <v>1</v>
      </c>
      <c r="E255" s="2">
        <v>0.50416666666666665</v>
      </c>
      <c r="F255" s="2">
        <f>AVERAGEIFS(Teams[finish],Teams[year],Teams[[#This Row],[year]],Teams[division],Teams[[#This Row],[division]],Teams[college],"&lt;&gt;Div *")</f>
        <v>0.56967592592592586</v>
      </c>
      <c r="G255" s="8" cm="1">
        <f t="array" ref="G255">MOD(Teams[[#This Row],[winners]]-_xlfn.XLOOKUP(1,(Table1[year]=Teams[[#This Row],[year]])*(Table1[division]=Teams[[#This Row],[division]]),Table1[drop]),1)*1440</f>
        <v>1064.3333333333333</v>
      </c>
      <c r="H255" s="8">
        <f>(_xlfn.XLOOKUP(Teams[[#This Row],[year]],Table1[year],Table1[cutoff])-Teams[[#This Row],[finish]])*1440</f>
        <v>294.00000000000006</v>
      </c>
      <c r="I255" s="6" cm="1">
        <f t="array" ref="I255">(Teams[[#This Row],[remaining]]+60)*Teams[[#This Row],[winners alt]]/_xlfn.XLOOKUP(1,(Table1[year]=Teams[[#This Row],[year]])*(Table1[division]=Teams[[#This Row],[division]]),Table1[available]) +50</f>
        <v>348.08069620253167</v>
      </c>
    </row>
    <row r="256" spans="1:9" x14ac:dyDescent="0.3">
      <c r="A256" t="s">
        <v>123</v>
      </c>
      <c r="B256">
        <v>5</v>
      </c>
      <c r="C256">
        <v>2023</v>
      </c>
      <c r="D256">
        <v>7</v>
      </c>
      <c r="E256" s="1">
        <v>0.67777777777777781</v>
      </c>
      <c r="F256" s="1">
        <f>AVERAGEIFS(Teams[finish],Teams[year],Teams[[#This Row],[year]],Teams[division],Teams[[#This Row],[division]],Teams[college],"&lt;&gt;Div *")</f>
        <v>0.62942708333333341</v>
      </c>
      <c r="G256" s="7" cm="1">
        <f t="array" ref="G256">MOD(Teams[[#This Row],[winners]]-_xlfn.XLOOKUP(1,(Table1[year]=Teams[[#This Row],[year]])*(Table1[division]=Teams[[#This Row],[division]]),Table1[drop]),1)*1440</f>
        <v>876.37500000000011</v>
      </c>
      <c r="H256" s="7">
        <f>(_xlfn.XLOOKUP(Teams[[#This Row],[year]],Table1[year],Table1[cutoff])-Teams[[#This Row],[finish]])*1440</f>
        <v>13.99999999999995</v>
      </c>
      <c r="I256" s="6" cm="1">
        <f t="array" ref="I256">(Teams[[#This Row],[remaining]]+60)*Teams[[#This Row],[winners alt]]/_xlfn.XLOOKUP(1,(Table1[year]=Teams[[#This Row],[year]])*(Table1[division]=Teams[[#This Row],[division]]),Table1[available]) +50</f>
        <v>117.55390624999995</v>
      </c>
    </row>
    <row r="257" spans="1:9" x14ac:dyDescent="0.3">
      <c r="A257" t="s">
        <v>15</v>
      </c>
      <c r="B257">
        <v>4</v>
      </c>
      <c r="C257">
        <v>2025</v>
      </c>
      <c r="D257">
        <v>1</v>
      </c>
      <c r="E257" s="2">
        <v>0.51458333333333328</v>
      </c>
      <c r="F257" s="2">
        <f>AVERAGEIFS(Teams[finish],Teams[year],Teams[[#This Row],[year]],Teams[division],Teams[[#This Row],[division]],Teams[college],"&lt;&gt;Div *")</f>
        <v>0.61206597222222225</v>
      </c>
      <c r="G257" s="8" cm="1">
        <f t="array" ref="G257">MOD(Teams[[#This Row],[winners]]-_xlfn.XLOOKUP(1,(Table1[year]=Teams[[#This Row],[year]])*(Table1[division]=Teams[[#This Row],[division]]),Table1[drop]),1)*1440</f>
        <v>933.375</v>
      </c>
      <c r="H257" s="8">
        <f>(_xlfn.XLOOKUP(Teams[[#This Row],[year]],Table1[year],Table1[cutoff])-Teams[[#This Row],[finish]])*1440</f>
        <v>279.00000000000011</v>
      </c>
      <c r="I257" s="6" cm="1">
        <f t="array" ref="I257">(Teams[[#This Row],[remaining]]+60)*Teams[[#This Row],[winners alt]]/_xlfn.XLOOKUP(1,(Table1[year]=Teams[[#This Row],[year]])*(Table1[division]=Teams[[#This Row],[division]]),Table1[available]) +50</f>
        <v>345.16243003731353</v>
      </c>
    </row>
    <row r="258" spans="1:9" x14ac:dyDescent="0.3">
      <c r="A258" t="s">
        <v>15</v>
      </c>
      <c r="B258">
        <v>5</v>
      </c>
      <c r="C258">
        <v>2022</v>
      </c>
      <c r="D258">
        <v>2</v>
      </c>
      <c r="E258" s="1">
        <v>0.44722222222222219</v>
      </c>
      <c r="F258" s="1">
        <f>AVERAGEIFS(Teams[finish],Teams[year],Teams[[#This Row],[year]],Teams[division],Teams[[#This Row],[division]],Teams[college],"&lt;&gt;Div *")</f>
        <v>0.54583333333333328</v>
      </c>
      <c r="G258" s="7" cm="1">
        <f t="array" ref="G258">MOD(Teams[[#This Row],[winners]]-_xlfn.XLOOKUP(1,(Table1[year]=Teams[[#This Row],[year]])*(Table1[division]=Teams[[#This Row],[division]]),Table1[drop]),1)*1440</f>
        <v>546</v>
      </c>
      <c r="H258" s="7">
        <f>(_xlfn.XLOOKUP(Teams[[#This Row],[year]],Table1[year],Table1[cutoff])-Teams[[#This Row],[finish]])*1440</f>
        <v>346.00000000000006</v>
      </c>
      <c r="I258" s="6" cm="1">
        <f t="array" ref="I258">(Teams[[#This Row],[remaining]]+60)*Teams[[#This Row],[winners alt]]/_xlfn.XLOOKUP(1,(Table1[year]=Teams[[#This Row],[year]])*(Table1[division]=Teams[[#This Row],[division]]),Table1[available]) +50</f>
        <v>345.56800000000004</v>
      </c>
    </row>
    <row r="259" spans="1:9" x14ac:dyDescent="0.3">
      <c r="A259" t="s">
        <v>137</v>
      </c>
      <c r="B259">
        <v>3</v>
      </c>
      <c r="C259">
        <v>2025</v>
      </c>
      <c r="D259">
        <v>1</v>
      </c>
      <c r="E259" s="2">
        <v>0.50277777777777777</v>
      </c>
      <c r="F259" s="2">
        <f>AVERAGEIFS(Teams[finish],Teams[year],Teams[[#This Row],[year]],Teams[division],Teams[[#This Row],[division]],Teams[college],"&lt;&gt;Div *")</f>
        <v>0.56753472222222223</v>
      </c>
      <c r="G259" s="8" cm="1">
        <f t="array" ref="G259">MOD(Teams[[#This Row],[winners]]-_xlfn.XLOOKUP(1,(Table1[year]=Teams[[#This Row],[year]])*(Table1[division]=Teams[[#This Row],[division]]),Table1[drop]),1)*1440</f>
        <v>997.25</v>
      </c>
      <c r="H259" s="8">
        <f>(_xlfn.XLOOKUP(Teams[[#This Row],[year]],Table1[year],Table1[cutoff])-Teams[[#This Row],[finish]])*1440</f>
        <v>296.00000000000006</v>
      </c>
      <c r="I259" s="6" cm="1">
        <f t="array" ref="I259">(Teams[[#This Row],[remaining]]+60)*Teams[[#This Row],[winners alt]]/_xlfn.XLOOKUP(1,(Table1[year]=Teams[[#This Row],[year]])*(Table1[division]=Teams[[#This Row],[division]]),Table1[available]) +50</f>
        <v>345.85083333333336</v>
      </c>
    </row>
    <row r="260" spans="1:9" x14ac:dyDescent="0.3">
      <c r="A260" t="s">
        <v>10</v>
      </c>
      <c r="B260">
        <v>7</v>
      </c>
      <c r="C260">
        <v>2025</v>
      </c>
      <c r="D260">
        <v>1</v>
      </c>
      <c r="E260" s="2">
        <v>0.43333333333333335</v>
      </c>
      <c r="F260" s="2">
        <f>AVERAGEIFS(Teams[finish],Teams[year],Teams[[#This Row],[year]],Teams[division],Teams[[#This Row],[division]],Teams[college],"&lt;&gt;Div *")</f>
        <v>0.53510101010101008</v>
      </c>
      <c r="G260" s="8" cm="1">
        <f t="array" ref="G260">MOD(Teams[[#This Row],[winners]]-_xlfn.XLOOKUP(1,(Table1[year]=Teams[[#This Row],[year]])*(Table1[division]=Teams[[#This Row],[division]]),Table1[drop]),1)*1440</f>
        <v>470.54545454545445</v>
      </c>
      <c r="H260" s="8">
        <f>(_xlfn.XLOOKUP(Teams[[#This Row],[year]],Table1[year],Table1[cutoff])-Teams[[#This Row],[finish]])*1440</f>
        <v>396.00000000000006</v>
      </c>
      <c r="I260" s="6" cm="1">
        <f t="array" ref="I260">(Teams[[#This Row],[remaining]]+60)*Teams[[#This Row],[winners alt]]/_xlfn.XLOOKUP(1,(Table1[year]=Teams[[#This Row],[year]])*(Table1[division]=Teams[[#This Row],[division]]),Table1[available]) +50</f>
        <v>348.0121212121212</v>
      </c>
    </row>
    <row r="261" spans="1:9" x14ac:dyDescent="0.3">
      <c r="A261" t="s">
        <v>123</v>
      </c>
      <c r="B261">
        <v>7</v>
      </c>
      <c r="C261">
        <v>2024</v>
      </c>
      <c r="D261">
        <v>8</v>
      </c>
      <c r="E261" s="2">
        <v>0.70347222222222228</v>
      </c>
      <c r="F261" s="2">
        <f>AVERAGEIFS(Teams[finish],Teams[year],Teams[[#This Row],[year]],Teams[division],Teams[[#This Row],[division]],Teams[college],"&lt;&gt;Div *")</f>
        <v>0.65364583333333337</v>
      </c>
      <c r="G261" s="8" cm="1">
        <f t="array" ref="G261">MOD(Teams[[#This Row],[winners]]-_xlfn.XLOOKUP(1,(Table1[year]=Teams[[#This Row],[year]])*(Table1[division]=Teams[[#This Row],[division]]),Table1[drop]),1)*1440</f>
        <v>661.25000000000011</v>
      </c>
      <c r="H261" s="8">
        <f>(_xlfn.XLOOKUP(Teams[[#This Row],[year]],Table1[year],Table1[cutoff])-Teams[[#This Row],[finish]])*1440</f>
        <v>6.9999999999999751</v>
      </c>
      <c r="I261" s="6" cm="1">
        <f t="array" ref="I261">(Teams[[#This Row],[remaining]]+60)*Teams[[#This Row],[winners alt]]/_xlfn.XLOOKUP(1,(Table1[year]=Teams[[#This Row],[year]])*(Table1[division]=Teams[[#This Row],[division]]),Table1[available]) +50</f>
        <v>109.86993243243241</v>
      </c>
    </row>
    <row r="262" spans="1:9" x14ac:dyDescent="0.3">
      <c r="A262" t="s">
        <v>123</v>
      </c>
      <c r="B262">
        <v>2</v>
      </c>
      <c r="C262">
        <v>2025</v>
      </c>
      <c r="D262" t="s">
        <v>736</v>
      </c>
      <c r="E262" s="3" t="s">
        <v>735</v>
      </c>
      <c r="F262" s="2">
        <f>AVERAGEIFS(Teams[finish],Teams[year],Teams[[#This Row],[year]],Teams[division],Teams[[#This Row],[division]],Teams[college],"&lt;&gt;Div *")</f>
        <v>0.56967592592592586</v>
      </c>
      <c r="G262" s="8" cm="1">
        <f t="array" ref="G262">MOD(Teams[[#This Row],[winners]]-_xlfn.XLOOKUP(1,(Table1[year]=Teams[[#This Row],[year]])*(Table1[division]=Teams[[#This Row],[division]]),Table1[drop]),1)*1440</f>
        <v>1064.3333333333333</v>
      </c>
      <c r="H262" s="8" t="e">
        <f>(_xlfn.XLOOKUP(Teams[[#This Row],[year]],Table1[year],Table1[cutoff])-Teams[[#This Row],[finish]])*1440</f>
        <v>#VALUE!</v>
      </c>
      <c r="I262" s="6">
        <v>0</v>
      </c>
    </row>
    <row r="263" spans="1:9" x14ac:dyDescent="0.3">
      <c r="A263" t="s">
        <v>754</v>
      </c>
      <c r="B263">
        <v>5</v>
      </c>
      <c r="C263">
        <v>2025</v>
      </c>
      <c r="D263" t="s">
        <v>735</v>
      </c>
      <c r="E263" s="1">
        <v>0.4597222222222222</v>
      </c>
      <c r="F263" s="1">
        <f>AVERAGEIFS(Teams[finish],Teams[year],Teams[[#This Row],[year]],Teams[division],Teams[[#This Row],[division]],Teams[college],"&lt;&gt;Div *")</f>
        <v>0.51717171717171717</v>
      </c>
      <c r="G263" s="7" cm="1">
        <f t="array" ref="G263">MOD(Teams[[#This Row],[winners]]-_xlfn.XLOOKUP(1,(Table1[year]=Teams[[#This Row],[year]])*(Table1[division]=Teams[[#This Row],[division]]),Table1[drop]),1)*1440</f>
        <v>741.72727272727275</v>
      </c>
      <c r="H263" s="7">
        <f>(_xlfn.XLOOKUP(Teams[[#This Row],[year]],Table1[year],Table1[cutoff])-Teams[[#This Row],[finish]])*1440</f>
        <v>358.00000000000011</v>
      </c>
      <c r="I263" s="6" cm="1">
        <f t="array" ref="I263">(Teams[[#This Row],[remaining]]+60)*Teams[[#This Row],[winners alt]]/_xlfn.XLOOKUP(1,(Table1[year]=Teams[[#This Row],[year]])*(Table1[division]=Teams[[#This Row],[division]]),Table1[available]) +50</f>
        <v>354.85939036381524</v>
      </c>
    </row>
    <row r="264" spans="1:9" x14ac:dyDescent="0.3">
      <c r="A264" t="s">
        <v>759</v>
      </c>
      <c r="B264">
        <v>5</v>
      </c>
      <c r="C264">
        <v>2025</v>
      </c>
      <c r="D264" t="s">
        <v>735</v>
      </c>
      <c r="E264" s="1">
        <v>0.4597222222222222</v>
      </c>
      <c r="F264" s="1">
        <f>AVERAGEIFS(Teams[finish],Teams[year],Teams[[#This Row],[year]],Teams[division],Teams[[#This Row],[division]],Teams[college],"&lt;&gt;Div *")</f>
        <v>0.51717171717171717</v>
      </c>
      <c r="G264" s="7" cm="1">
        <f t="array" ref="G264">MOD(Teams[[#This Row],[winners]]-_xlfn.XLOOKUP(1,(Table1[year]=Teams[[#This Row],[year]])*(Table1[division]=Teams[[#This Row],[division]]),Table1[drop]),1)*1440</f>
        <v>741.72727272727275</v>
      </c>
      <c r="H264" s="7">
        <f>(_xlfn.XLOOKUP(Teams[[#This Row],[year]],Table1[year],Table1[cutoff])-Teams[[#This Row],[finish]])*1440</f>
        <v>358.00000000000011</v>
      </c>
      <c r="I264" s="6" cm="1">
        <f t="array" ref="I264">(Teams[[#This Row],[remaining]]+60)*Teams[[#This Row],[winners alt]]/_xlfn.XLOOKUP(1,(Table1[year]=Teams[[#This Row],[year]])*(Table1[division]=Teams[[#This Row],[division]]),Table1[available]) +50</f>
        <v>354.85939036381524</v>
      </c>
    </row>
    <row r="265" spans="1:9" x14ac:dyDescent="0.3">
      <c r="A265" t="s">
        <v>15</v>
      </c>
      <c r="B265">
        <v>3</v>
      </c>
      <c r="C265">
        <v>2022</v>
      </c>
      <c r="D265">
        <v>2</v>
      </c>
      <c r="E265" s="1">
        <v>0.41458333333333336</v>
      </c>
      <c r="F265" s="1">
        <f>AVERAGEIFS(Teams[finish],Teams[year],Teams[[#This Row],[year]],Teams[division],Teams[[#This Row],[division]],Teams[college],"&lt;&gt;Div *")</f>
        <v>0.4851388888888889</v>
      </c>
      <c r="G265" s="7" cm="1">
        <f t="array" ref="G265">MOD(Teams[[#This Row],[winners]]-_xlfn.XLOOKUP(1,(Table1[year]=Teams[[#This Row],[year]])*(Table1[division]=Teams[[#This Row],[division]]),Table1[drop]),1)*1440</f>
        <v>608.6</v>
      </c>
      <c r="H265" s="7">
        <f>(_xlfn.XLOOKUP(Teams[[#This Row],[year]],Table1[year],Table1[cutoff])-Teams[[#This Row],[finish]])*1440</f>
        <v>392.99999999999994</v>
      </c>
      <c r="I265" s="6" cm="1">
        <f t="array" ref="I265">(Teams[[#This Row],[remaining]]+60)*Teams[[#This Row],[winners alt]]/_xlfn.XLOOKUP(1,(Table1[year]=Teams[[#This Row],[year]])*(Table1[division]=Teams[[#This Row],[division]]),Table1[available]) +50</f>
        <v>356.32866666666666</v>
      </c>
    </row>
    <row r="266" spans="1:9" x14ac:dyDescent="0.3">
      <c r="A266" t="s">
        <v>132</v>
      </c>
      <c r="B266">
        <v>6</v>
      </c>
      <c r="C266">
        <v>2025</v>
      </c>
      <c r="D266">
        <v>1</v>
      </c>
      <c r="E266" s="2">
        <v>0.48888888888888887</v>
      </c>
      <c r="F266" s="2">
        <f>AVERAGEIFS(Teams[finish],Teams[year],Teams[[#This Row],[year]],Teams[division],Teams[[#This Row],[division]],Teams[college],"&lt;&gt;Div *")</f>
        <v>0.57067901234567897</v>
      </c>
      <c r="G266" s="8" cm="1">
        <f t="array" ref="G266">MOD(Teams[[#This Row],[winners]]-_xlfn.XLOOKUP(1,(Table1[year]=Teams[[#This Row],[year]])*(Table1[division]=Teams[[#This Row],[division]]),Table1[drop]),1)*1440</f>
        <v>699.77777777777771</v>
      </c>
      <c r="H266" s="8">
        <f>(_xlfn.XLOOKUP(Teams[[#This Row],[year]],Table1[year],Table1[cutoff])-Teams[[#This Row],[finish]])*1440</f>
        <v>316.00000000000006</v>
      </c>
      <c r="I266" s="6" cm="1">
        <f t="array" ref="I266">(Teams[[#This Row],[remaining]]+60)*Teams[[#This Row],[winners alt]]/_xlfn.XLOOKUP(1,(Table1[year]=Teams[[#This Row],[year]])*(Table1[division]=Teams[[#This Row],[division]]),Table1[available]) +50</f>
        <v>343.00272209849044</v>
      </c>
    </row>
    <row r="267" spans="1:9" x14ac:dyDescent="0.3">
      <c r="A267" t="s">
        <v>5</v>
      </c>
      <c r="B267">
        <v>1</v>
      </c>
      <c r="C267">
        <v>2022</v>
      </c>
      <c r="D267">
        <v>1</v>
      </c>
      <c r="E267" s="1">
        <v>0.45</v>
      </c>
      <c r="F267" s="1">
        <f>AVERAGEIFS(Teams[finish],Teams[year],Teams[[#This Row],[year]],Teams[division],Teams[[#This Row],[division]],Teams[college],"&lt;&gt;Div *")</f>
        <v>0.52309027777777772</v>
      </c>
      <c r="G267" s="7" cm="1">
        <f t="array" ref="G267">MOD(Teams[[#This Row],[winners]]-_xlfn.XLOOKUP(1,(Table1[year]=Teams[[#This Row],[year]])*(Table1[division]=Teams[[#This Row],[division]]),Table1[drop]),1)*1440</f>
        <v>811.24999999999989</v>
      </c>
      <c r="H267" s="7">
        <f>(_xlfn.XLOOKUP(Teams[[#This Row],[year]],Table1[year],Table1[cutoff])-Teams[[#This Row],[finish]])*1440</f>
        <v>342</v>
      </c>
      <c r="I267" s="6" cm="1">
        <f t="array" ref="I267">(Teams[[#This Row],[remaining]]+60)*Teams[[#This Row],[winners alt]]/_xlfn.XLOOKUP(1,(Table1[year]=Teams[[#This Row],[year]])*(Table1[division]=Teams[[#This Row],[division]]),Table1[available]) +50</f>
        <v>361.18559160305335</v>
      </c>
    </row>
    <row r="268" spans="1:9" x14ac:dyDescent="0.3">
      <c r="A268" t="s">
        <v>123</v>
      </c>
      <c r="B268">
        <v>3</v>
      </c>
      <c r="C268">
        <v>2024</v>
      </c>
      <c r="D268" t="s">
        <v>736</v>
      </c>
      <c r="E268" t="s">
        <v>735</v>
      </c>
      <c r="F268" s="1">
        <f>AVERAGEIFS(Teams[finish],Teams[year],Teams[[#This Row],[year]],Teams[division],Teams[[#This Row],[division]],Teams[college],"&lt;&gt;Div *")</f>
        <v>0.63777777777777778</v>
      </c>
      <c r="G268" s="7" cm="1">
        <f t="array" ref="G268">MOD(Teams[[#This Row],[winners]]-_xlfn.XLOOKUP(1,(Table1[year]=Teams[[#This Row],[year]])*(Table1[division]=Teams[[#This Row],[division]]),Table1[drop]),1)*1440</f>
        <v>938.4</v>
      </c>
      <c r="H268" s="7" t="e">
        <f>(_xlfn.XLOOKUP(Teams[[#This Row],[year]],Table1[year],Table1[cutoff])-Teams[[#This Row],[finish]])*1440</f>
        <v>#VALUE!</v>
      </c>
      <c r="I268" s="6">
        <v>0</v>
      </c>
    </row>
    <row r="269" spans="1:9" x14ac:dyDescent="0.3">
      <c r="A269" t="s">
        <v>754</v>
      </c>
      <c r="B269">
        <v>2</v>
      </c>
      <c r="C269">
        <v>2025</v>
      </c>
      <c r="D269" t="s">
        <v>735</v>
      </c>
      <c r="E269" s="1">
        <v>0.4861111111111111</v>
      </c>
      <c r="F269" s="1">
        <f>AVERAGEIFS(Teams[finish],Teams[year],Teams[[#This Row],[year]],Teams[division],Teams[[#This Row],[division]],Teams[college],"&lt;&gt;Div *")</f>
        <v>0.56967592592592586</v>
      </c>
      <c r="G269" s="7" cm="1">
        <f t="array" ref="G269">MOD(Teams[[#This Row],[winners]]-_xlfn.XLOOKUP(1,(Table1[year]=Teams[[#This Row],[year]])*(Table1[division]=Teams[[#This Row],[division]]),Table1[drop]),1)*1440</f>
        <v>1064.3333333333333</v>
      </c>
      <c r="H269" s="7">
        <f>(_xlfn.XLOOKUP(Teams[[#This Row],[year]],Table1[year],Table1[cutoff])-Teams[[#This Row],[finish]])*1440</f>
        <v>320.00000000000006</v>
      </c>
      <c r="I269" s="6" cm="1">
        <f t="array" ref="I269">(Teams[[#This Row],[remaining]]+60)*Teams[[#This Row],[winners alt]]/_xlfn.XLOOKUP(1,(Table1[year]=Teams[[#This Row],[year]])*(Table1[division]=Teams[[#This Row],[division]]),Table1[available]) +50</f>
        <v>369.97362869198315</v>
      </c>
    </row>
    <row r="270" spans="1:9" x14ac:dyDescent="0.3">
      <c r="A270" t="s">
        <v>123</v>
      </c>
      <c r="B270">
        <v>4</v>
      </c>
      <c r="C270">
        <v>2025</v>
      </c>
      <c r="D270" t="s">
        <v>736</v>
      </c>
      <c r="E270" s="3" t="s">
        <v>735</v>
      </c>
      <c r="F270" s="2">
        <f>AVERAGEIFS(Teams[finish],Teams[year],Teams[[#This Row],[year]],Teams[division],Teams[[#This Row],[division]],Teams[college],"&lt;&gt;Div *")</f>
        <v>0.61206597222222225</v>
      </c>
      <c r="G270" s="8" cm="1">
        <f t="array" ref="G270">MOD(Teams[[#This Row],[winners]]-_xlfn.XLOOKUP(1,(Table1[year]=Teams[[#This Row],[year]])*(Table1[division]=Teams[[#This Row],[division]]),Table1[drop]),1)*1440</f>
        <v>933.375</v>
      </c>
      <c r="H270" s="8" t="e">
        <f>(_xlfn.XLOOKUP(Teams[[#This Row],[year]],Table1[year],Table1[cutoff])-Teams[[#This Row],[finish]])*1440</f>
        <v>#VALUE!</v>
      </c>
      <c r="I270" s="6">
        <v>0</v>
      </c>
    </row>
    <row r="271" spans="1:9" x14ac:dyDescent="0.3">
      <c r="A271" t="s">
        <v>5</v>
      </c>
      <c r="B271">
        <v>1</v>
      </c>
      <c r="C271">
        <v>2024</v>
      </c>
      <c r="D271">
        <v>1</v>
      </c>
      <c r="E271" s="2">
        <v>0.49652777777777779</v>
      </c>
      <c r="F271" s="2">
        <f>AVERAGEIFS(Teams[finish],Teams[year],Teams[[#This Row],[year]],Teams[division],Teams[[#This Row],[division]],Teams[college],"&lt;&gt;Div *")</f>
        <v>0.60277777777777775</v>
      </c>
      <c r="G271" s="8" cm="1">
        <f t="array" ref="G271">MOD(Teams[[#This Row],[winners]]-_xlfn.XLOOKUP(1,(Table1[year]=Teams[[#This Row],[year]])*(Table1[division]=Teams[[#This Row],[division]]),Table1[drop]),1)*1440</f>
        <v>1084</v>
      </c>
      <c r="H271" s="8">
        <f>(_xlfn.XLOOKUP(Teams[[#This Row],[year]],Table1[year],Table1[cutoff])-Teams[[#This Row],[finish]])*1440</f>
        <v>305.00000000000006</v>
      </c>
      <c r="I271" s="6" cm="1">
        <f t="array" ref="I271">(Teams[[#This Row],[remaining]]+60)*Teams[[#This Row],[winners alt]]/_xlfn.XLOOKUP(1,(Table1[year]=Teams[[#This Row],[year]])*(Table1[division]=Teams[[#This Row],[division]]),Table1[available]) +50</f>
        <v>370.11326860841427</v>
      </c>
    </row>
    <row r="272" spans="1:9" x14ac:dyDescent="0.3">
      <c r="A272" t="s">
        <v>5</v>
      </c>
      <c r="B272">
        <v>3</v>
      </c>
      <c r="C272">
        <v>2022</v>
      </c>
      <c r="D272">
        <v>1</v>
      </c>
      <c r="E272" s="1">
        <v>0.39791666666666664</v>
      </c>
      <c r="F272" s="1">
        <f>AVERAGEIFS(Teams[finish],Teams[year],Teams[[#This Row],[year]],Teams[division],Teams[[#This Row],[division]],Teams[college],"&lt;&gt;Div *")</f>
        <v>0.4851388888888889</v>
      </c>
      <c r="G272" s="7" cm="1">
        <f t="array" ref="G272">MOD(Teams[[#This Row],[winners]]-_xlfn.XLOOKUP(1,(Table1[year]=Teams[[#This Row],[year]])*(Table1[division]=Teams[[#This Row],[division]]),Table1[drop]),1)*1440</f>
        <v>608.6</v>
      </c>
      <c r="H272" s="7">
        <f>(_xlfn.XLOOKUP(Teams[[#This Row],[year]],Table1[year],Table1[cutoff])-Teams[[#This Row],[finish]])*1440</f>
        <v>417.00000000000006</v>
      </c>
      <c r="I272" s="6" cm="1">
        <f t="array" ref="I272">(Teams[[#This Row],[remaining]]+60)*Teams[[#This Row],[winners alt]]/_xlfn.XLOOKUP(1,(Table1[year]=Teams[[#This Row],[year]])*(Table1[division]=Teams[[#This Row],[division]]),Table1[available]) +50</f>
        <v>372.55800000000005</v>
      </c>
    </row>
    <row r="273" spans="1:9" x14ac:dyDescent="0.3">
      <c r="A273" t="s">
        <v>48</v>
      </c>
      <c r="B273">
        <v>5</v>
      </c>
      <c r="C273">
        <v>2025</v>
      </c>
      <c r="D273">
        <v>2</v>
      </c>
      <c r="E273" s="2">
        <v>0.43819444444444444</v>
      </c>
      <c r="F273" s="2">
        <f>AVERAGEIFS(Teams[finish],Teams[year],Teams[[#This Row],[year]],Teams[division],Teams[[#This Row],[division]],Teams[college],"&lt;&gt;Div *")</f>
        <v>0.51717171717171717</v>
      </c>
      <c r="G273" s="8" cm="1">
        <f t="array" ref="G273">MOD(Teams[[#This Row],[winners]]-_xlfn.XLOOKUP(1,(Table1[year]=Teams[[#This Row],[year]])*(Table1[division]=Teams[[#This Row],[division]]),Table1[drop]),1)*1440</f>
        <v>741.72727272727275</v>
      </c>
      <c r="H273" s="8">
        <f>(_xlfn.XLOOKUP(Teams[[#This Row],[year]],Table1[year],Table1[cutoff])-Teams[[#This Row],[finish]])*1440</f>
        <v>389.00000000000006</v>
      </c>
      <c r="I273" s="6" cm="1">
        <f t="array" ref="I273">(Teams[[#This Row],[remaining]]+60)*Teams[[#This Row],[winners alt]]/_xlfn.XLOOKUP(1,(Table1[year]=Teams[[#This Row],[year]])*(Table1[division]=Teams[[#This Row],[division]]),Table1[available]) +50</f>
        <v>377.46857960132303</v>
      </c>
    </row>
    <row r="274" spans="1:9" x14ac:dyDescent="0.3">
      <c r="A274" t="s">
        <v>15</v>
      </c>
      <c r="B274">
        <v>4</v>
      </c>
      <c r="C274">
        <v>2022</v>
      </c>
      <c r="D274">
        <v>1</v>
      </c>
      <c r="E274" s="1">
        <v>0.4284722222222222</v>
      </c>
      <c r="F274" s="1">
        <f>AVERAGEIFS(Teams[finish],Teams[year],Teams[[#This Row],[year]],Teams[division],Teams[[#This Row],[division]],Teams[college],"&lt;&gt;Div *")</f>
        <v>0.4699652777777778</v>
      </c>
      <c r="G274" s="7" cm="1">
        <f t="array" ref="G274">MOD(Teams[[#This Row],[winners]]-_xlfn.XLOOKUP(1,(Table1[year]=Teams[[#This Row],[year]])*(Table1[division]=Teams[[#This Row],[division]]),Table1[drop]),1)*1440</f>
        <v>586.75</v>
      </c>
      <c r="H274" s="7">
        <f>(_xlfn.XLOOKUP(Teams[[#This Row],[year]],Table1[year],Table1[cutoff])-Teams[[#This Row],[finish]])*1440</f>
        <v>373.00000000000006</v>
      </c>
      <c r="I274" s="6" cm="1">
        <f t="array" ref="I274">(Teams[[#This Row],[remaining]]+60)*Teams[[#This Row],[winners alt]]/_xlfn.XLOOKUP(1,(Table1[year]=Teams[[#This Row],[year]])*(Table1[division]=Teams[[#This Row],[division]]),Table1[available]) +50</f>
        <v>332.29194444444448</v>
      </c>
    </row>
    <row r="275" spans="1:9" x14ac:dyDescent="0.3">
      <c r="A275" t="s">
        <v>10</v>
      </c>
      <c r="B275">
        <v>5</v>
      </c>
      <c r="C275">
        <v>2025</v>
      </c>
      <c r="D275">
        <v>1</v>
      </c>
      <c r="E275" s="2">
        <v>0.42222222222222222</v>
      </c>
      <c r="F275" s="2">
        <f>AVERAGEIFS(Teams[finish],Teams[year],Teams[[#This Row],[year]],Teams[division],Teams[[#This Row],[division]],Teams[college],"&lt;&gt;Div *")</f>
        <v>0.51717171717171717</v>
      </c>
      <c r="G275" s="8" cm="1">
        <f t="array" ref="G275">MOD(Teams[[#This Row],[winners]]-_xlfn.XLOOKUP(1,(Table1[year]=Teams[[#This Row],[year]])*(Table1[division]=Teams[[#This Row],[division]]),Table1[drop]),1)*1440</f>
        <v>741.72727272727275</v>
      </c>
      <c r="H275" s="8">
        <f>(_xlfn.XLOOKUP(Teams[[#This Row],[year]],Table1[year],Table1[cutoff])-Teams[[#This Row],[finish]])*1440</f>
        <v>412.00000000000006</v>
      </c>
      <c r="I275" s="6" cm="1">
        <f t="array" ref="I275">(Teams[[#This Row],[remaining]]+60)*Teams[[#This Row],[winners alt]]/_xlfn.XLOOKUP(1,(Table1[year]=Teams[[#This Row],[year]])*(Table1[division]=Teams[[#This Row],[division]]),Table1[available]) +50</f>
        <v>394.24313935818361</v>
      </c>
    </row>
    <row r="276" spans="1:9" x14ac:dyDescent="0.3">
      <c r="A276" t="s">
        <v>5</v>
      </c>
      <c r="B276">
        <v>1</v>
      </c>
      <c r="C276">
        <v>2025</v>
      </c>
      <c r="D276">
        <v>1</v>
      </c>
      <c r="E276" s="2">
        <v>0.38472222222222224</v>
      </c>
      <c r="F276" s="2">
        <f>AVERAGEIFS(Teams[finish],Teams[year],Teams[[#This Row],[year]],Teams[division],Teams[[#This Row],[division]],Teams[college],"&lt;&gt;Div *")</f>
        <v>0.58533950617283947</v>
      </c>
      <c r="G276" s="8" cm="1">
        <f t="array" ref="G276">MOD(Teams[[#This Row],[winners]]-_xlfn.XLOOKUP(1,(Table1[year]=Teams[[#This Row],[year]])*(Table1[division]=Teams[[#This Row],[division]]),Table1[drop]),1)*1440</f>
        <v>1129.8888888888887</v>
      </c>
      <c r="H276" s="8">
        <f>(_xlfn.XLOOKUP(Teams[[#This Row],[year]],Table1[year],Table1[cutoff])-Teams[[#This Row],[finish]])*1440</f>
        <v>466</v>
      </c>
      <c r="I276" s="6" cm="1">
        <f t="array" ref="I276">(Teams[[#This Row],[remaining]]+60)*Teams[[#This Row],[winners alt]]/_xlfn.XLOOKUP(1,(Table1[year]=Teams[[#This Row],[year]])*(Table1[division]=Teams[[#This Row],[division]]),Table1[available]) +50</f>
        <v>504.72192467907843</v>
      </c>
    </row>
    <row r="277" spans="1:9" x14ac:dyDescent="0.3">
      <c r="A277" t="s">
        <v>132</v>
      </c>
      <c r="B277">
        <v>1</v>
      </c>
      <c r="C277">
        <v>2026</v>
      </c>
      <c r="F277" s="1" t="e">
        <f>AVERAGEIFS(Teams[finish],Teams[year],Teams[[#This Row],[year]],Teams[division],Teams[[#This Row],[division]],Teams[college],"&lt;&gt;Div *")</f>
        <v>#DIV/0!</v>
      </c>
      <c r="G277" s="7" t="e" cm="1">
        <f t="array" ref="G277">MOD(Teams[[#This Row],[winners]]-_xlfn.XLOOKUP(1,(Table1[year]=Teams[[#This Row],[year]])*(Table1[division]=Teams[[#This Row],[division]]),Table1[drop]),1)*1440</f>
        <v>#DIV/0!</v>
      </c>
      <c r="H277" s="7" t="e">
        <f>(_xlfn.XLOOKUP(Teams[[#This Row],[year]],Table1[year],Table1[cutoff])-Teams[[#This Row],[finish]])*1440</f>
        <v>#N/A</v>
      </c>
      <c r="I277" s="6" t="e" cm="1">
        <f t="array" ref="I277">(Teams[[#This Row],[remaining]]+60)*Teams[[#This Row],[winners alt]]/_xlfn.XLOOKUP(1,(Table1[year]=Teams[[#This Row],[year]])*(Table1[division]=Teams[[#This Row],[division]]),Table1[available])</f>
        <v>#N/A</v>
      </c>
    </row>
    <row r="278" spans="1:9" x14ac:dyDescent="0.3">
      <c r="A278" t="s">
        <v>132</v>
      </c>
      <c r="B278">
        <v>2</v>
      </c>
      <c r="C278">
        <v>2026</v>
      </c>
      <c r="F278" s="1" t="e">
        <f>AVERAGEIFS(Teams[finish],Teams[year],Teams[[#This Row],[year]],Teams[division],Teams[[#This Row],[division]],Teams[college],"&lt;&gt;Div *")</f>
        <v>#DIV/0!</v>
      </c>
      <c r="G278" s="7" t="e" cm="1">
        <f t="array" ref="G278">MOD(Teams[[#This Row],[winners]]-_xlfn.XLOOKUP(1,(Table1[year]=Teams[[#This Row],[year]])*(Table1[division]=Teams[[#This Row],[division]]),Table1[drop]),1)*1440</f>
        <v>#DIV/0!</v>
      </c>
      <c r="H278" s="7" t="e">
        <f>(_xlfn.XLOOKUP(Teams[[#This Row],[year]],Table1[year],Table1[cutoff])-Teams[[#This Row],[finish]])*1440</f>
        <v>#N/A</v>
      </c>
      <c r="I278" s="6" t="e" cm="1">
        <f t="array" ref="I278">(Teams[[#This Row],[remaining]]+60)*Teams[[#This Row],[winners alt]]/_xlfn.XLOOKUP(1,(Table1[year]=Teams[[#This Row],[year]])*(Table1[division]=Teams[[#This Row],[division]]),Table1[available])</f>
        <v>#N/A</v>
      </c>
    </row>
    <row r="279" spans="1:9" x14ac:dyDescent="0.3">
      <c r="A279" t="s">
        <v>132</v>
      </c>
      <c r="B279">
        <v>3</v>
      </c>
      <c r="C279">
        <v>2026</v>
      </c>
      <c r="F279" s="1" t="e">
        <f>AVERAGEIFS(Teams[finish],Teams[year],Teams[[#This Row],[year]],Teams[division],Teams[[#This Row],[division]],Teams[college],"&lt;&gt;Div *")</f>
        <v>#DIV/0!</v>
      </c>
      <c r="G279" s="7" t="e" cm="1">
        <f t="array" ref="G279">MOD(Teams[[#This Row],[winners]]-_xlfn.XLOOKUP(1,(Table1[year]=Teams[[#This Row],[year]])*(Table1[division]=Teams[[#This Row],[division]]),Table1[drop]),1)*1440</f>
        <v>#DIV/0!</v>
      </c>
      <c r="H279" s="7" t="e">
        <f>(_xlfn.XLOOKUP(Teams[[#This Row],[year]],Table1[year],Table1[cutoff])-Teams[[#This Row],[finish]])*1440</f>
        <v>#N/A</v>
      </c>
      <c r="I279" s="6" t="e" cm="1">
        <f t="array" ref="I279">(Teams[[#This Row],[remaining]]+60)*Teams[[#This Row],[winners alt]]/_xlfn.XLOOKUP(1,(Table1[year]=Teams[[#This Row],[year]])*(Table1[division]=Teams[[#This Row],[division]]),Table1[available])</f>
        <v>#N/A</v>
      </c>
    </row>
    <row r="280" spans="1:9" x14ac:dyDescent="0.3">
      <c r="A280" t="s">
        <v>132</v>
      </c>
      <c r="B280">
        <v>4</v>
      </c>
      <c r="C280">
        <v>2026</v>
      </c>
      <c r="F280" s="1" t="e">
        <f>AVERAGEIFS(Teams[finish],Teams[year],Teams[[#This Row],[year]],Teams[division],Teams[[#This Row],[division]],Teams[college],"&lt;&gt;Div *")</f>
        <v>#DIV/0!</v>
      </c>
      <c r="G280" s="7" t="e" cm="1">
        <f t="array" ref="G280">MOD(Teams[[#This Row],[winners]]-_xlfn.XLOOKUP(1,(Table1[year]=Teams[[#This Row],[year]])*(Table1[division]=Teams[[#This Row],[division]]),Table1[drop]),1)*1440</f>
        <v>#DIV/0!</v>
      </c>
      <c r="H280" s="7" t="e">
        <f>(_xlfn.XLOOKUP(Teams[[#This Row],[year]],Table1[year],Table1[cutoff])-Teams[[#This Row],[finish]])*1440</f>
        <v>#N/A</v>
      </c>
      <c r="I280" s="6" t="e" cm="1">
        <f t="array" ref="I280">(Teams[[#This Row],[remaining]]+60)*Teams[[#This Row],[winners alt]]/_xlfn.XLOOKUP(1,(Table1[year]=Teams[[#This Row],[year]])*(Table1[division]=Teams[[#This Row],[division]]),Table1[available])</f>
        <v>#N/A</v>
      </c>
    </row>
    <row r="281" spans="1:9" x14ac:dyDescent="0.3">
      <c r="A281" t="s">
        <v>132</v>
      </c>
      <c r="B281">
        <v>5</v>
      </c>
      <c r="C281">
        <v>2026</v>
      </c>
      <c r="F281" s="1" t="e">
        <f>AVERAGEIFS(Teams[finish],Teams[year],Teams[[#This Row],[year]],Teams[division],Teams[[#This Row],[division]],Teams[college],"&lt;&gt;Div *")</f>
        <v>#DIV/0!</v>
      </c>
      <c r="G281" s="7" t="e" cm="1">
        <f t="array" ref="G281">MOD(Teams[[#This Row],[winners]]-_xlfn.XLOOKUP(1,(Table1[year]=Teams[[#This Row],[year]])*(Table1[division]=Teams[[#This Row],[division]]),Table1[drop]),1)*1440</f>
        <v>#DIV/0!</v>
      </c>
      <c r="H281" s="7" t="e">
        <f>(_xlfn.XLOOKUP(Teams[[#This Row],[year]],Table1[year],Table1[cutoff])-Teams[[#This Row],[finish]])*1440</f>
        <v>#N/A</v>
      </c>
      <c r="I281" s="6" t="e" cm="1">
        <f t="array" ref="I281">(Teams[[#This Row],[remaining]]+60)*Teams[[#This Row],[winners alt]]/_xlfn.XLOOKUP(1,(Table1[year]=Teams[[#This Row],[year]])*(Table1[division]=Teams[[#This Row],[division]]),Table1[available])</f>
        <v>#N/A</v>
      </c>
    </row>
    <row r="282" spans="1:9" x14ac:dyDescent="0.3">
      <c r="A282" t="s">
        <v>132</v>
      </c>
      <c r="B282">
        <v>6</v>
      </c>
      <c r="C282">
        <v>2026</v>
      </c>
      <c r="F282" s="1" t="e">
        <f>AVERAGEIFS(Teams[finish],Teams[year],Teams[[#This Row],[year]],Teams[division],Teams[[#This Row],[division]],Teams[college],"&lt;&gt;Div *")</f>
        <v>#DIV/0!</v>
      </c>
      <c r="G282" s="7" t="e" cm="1">
        <f t="array" ref="G282">MOD(Teams[[#This Row],[winners]]-_xlfn.XLOOKUP(1,(Table1[year]=Teams[[#This Row],[year]])*(Table1[division]=Teams[[#This Row],[division]]),Table1[drop]),1)*1440</f>
        <v>#DIV/0!</v>
      </c>
      <c r="H282" s="7" t="e">
        <f>(_xlfn.XLOOKUP(Teams[[#This Row],[year]],Table1[year],Table1[cutoff])-Teams[[#This Row],[finish]])*1440</f>
        <v>#N/A</v>
      </c>
      <c r="I282" s="6" t="e" cm="1">
        <f t="array" ref="I282">(Teams[[#This Row],[remaining]]+60)*Teams[[#This Row],[winners alt]]/_xlfn.XLOOKUP(1,(Table1[year]=Teams[[#This Row],[year]])*(Table1[division]=Teams[[#This Row],[division]]),Table1[available])</f>
        <v>#N/A</v>
      </c>
    </row>
    <row r="283" spans="1:9" x14ac:dyDescent="0.3">
      <c r="A283" t="s">
        <v>132</v>
      </c>
      <c r="B283">
        <v>7</v>
      </c>
      <c r="C283">
        <v>2026</v>
      </c>
      <c r="F283" s="1" t="e">
        <f>AVERAGEIFS(Teams[finish],Teams[year],Teams[[#This Row],[year]],Teams[division],Teams[[#This Row],[division]],Teams[college],"&lt;&gt;Div *")</f>
        <v>#DIV/0!</v>
      </c>
      <c r="G283" s="7" t="e" cm="1">
        <f t="array" ref="G283">MOD(Teams[[#This Row],[winners]]-_xlfn.XLOOKUP(1,(Table1[year]=Teams[[#This Row],[year]])*(Table1[division]=Teams[[#This Row],[division]]),Table1[drop]),1)*1440</f>
        <v>#DIV/0!</v>
      </c>
      <c r="H283" s="7" t="e">
        <f>(_xlfn.XLOOKUP(Teams[[#This Row],[year]],Table1[year],Table1[cutoff])-Teams[[#This Row],[finish]])*1440</f>
        <v>#N/A</v>
      </c>
      <c r="I283" s="6" t="e" cm="1">
        <f t="array" ref="I283">(Teams[[#This Row],[remaining]]+60)*Teams[[#This Row],[winners alt]]/_xlfn.XLOOKUP(1,(Table1[year]=Teams[[#This Row],[year]])*(Table1[division]=Teams[[#This Row],[division]]),Table1[available])</f>
        <v>#N/A</v>
      </c>
    </row>
    <row r="284" spans="1:9" x14ac:dyDescent="0.3">
      <c r="A284" t="s">
        <v>15</v>
      </c>
      <c r="B284">
        <v>1</v>
      </c>
      <c r="C284">
        <v>2026</v>
      </c>
      <c r="F284" s="1" t="e">
        <f>AVERAGEIFS(Teams[finish],Teams[year],Teams[[#This Row],[year]],Teams[division],Teams[[#This Row],[division]],Teams[college],"&lt;&gt;Div *")</f>
        <v>#DIV/0!</v>
      </c>
      <c r="G284" s="7" t="e" cm="1">
        <f t="array" ref="G284">MOD(Teams[[#This Row],[winners]]-_xlfn.XLOOKUP(1,(Table1[year]=Teams[[#This Row],[year]])*(Table1[division]=Teams[[#This Row],[division]]),Table1[drop]),1)*1440</f>
        <v>#DIV/0!</v>
      </c>
      <c r="H284" s="7" t="e">
        <f>(_xlfn.XLOOKUP(Teams[[#This Row],[year]],Table1[year],Table1[cutoff])-Teams[[#This Row],[finish]])*1440</f>
        <v>#N/A</v>
      </c>
      <c r="I284" s="6" t="e" cm="1">
        <f t="array" ref="I284">(Teams[[#This Row],[remaining]]+60)*Teams[[#This Row],[winners alt]]/_xlfn.XLOOKUP(1,(Table1[year]=Teams[[#This Row],[year]])*(Table1[division]=Teams[[#This Row],[division]]),Table1[available])</f>
        <v>#N/A</v>
      </c>
    </row>
    <row r="285" spans="1:9" x14ac:dyDescent="0.3">
      <c r="A285" t="s">
        <v>15</v>
      </c>
      <c r="B285">
        <v>2</v>
      </c>
      <c r="C285">
        <v>2026</v>
      </c>
      <c r="F285" s="1" t="e">
        <f>AVERAGEIFS(Teams[finish],Teams[year],Teams[[#This Row],[year]],Teams[division],Teams[[#This Row],[division]],Teams[college],"&lt;&gt;Div *")</f>
        <v>#DIV/0!</v>
      </c>
      <c r="G285" s="7" t="e" cm="1">
        <f t="array" ref="G285">MOD(Teams[[#This Row],[winners]]-_xlfn.XLOOKUP(1,(Table1[year]=Teams[[#This Row],[year]])*(Table1[division]=Teams[[#This Row],[division]]),Table1[drop]),1)*1440</f>
        <v>#DIV/0!</v>
      </c>
      <c r="H285" s="7" t="e">
        <f>(_xlfn.XLOOKUP(Teams[[#This Row],[year]],Table1[year],Table1[cutoff])-Teams[[#This Row],[finish]])*1440</f>
        <v>#N/A</v>
      </c>
      <c r="I285" s="6" t="e" cm="1">
        <f t="array" ref="I285">(Teams[[#This Row],[remaining]]+60)*Teams[[#This Row],[winners alt]]/_xlfn.XLOOKUP(1,(Table1[year]=Teams[[#This Row],[year]])*(Table1[division]=Teams[[#This Row],[division]]),Table1[available])</f>
        <v>#N/A</v>
      </c>
    </row>
    <row r="286" spans="1:9" x14ac:dyDescent="0.3">
      <c r="A286" t="s">
        <v>15</v>
      </c>
      <c r="B286">
        <v>3</v>
      </c>
      <c r="C286">
        <v>2026</v>
      </c>
      <c r="F286" s="1" t="e">
        <f>AVERAGEIFS(Teams[finish],Teams[year],Teams[[#This Row],[year]],Teams[division],Teams[[#This Row],[division]],Teams[college],"&lt;&gt;Div *")</f>
        <v>#DIV/0!</v>
      </c>
      <c r="G286" s="7" t="e" cm="1">
        <f t="array" ref="G286">MOD(Teams[[#This Row],[winners]]-_xlfn.XLOOKUP(1,(Table1[year]=Teams[[#This Row],[year]])*(Table1[division]=Teams[[#This Row],[division]]),Table1[drop]),1)*1440</f>
        <v>#DIV/0!</v>
      </c>
      <c r="H286" s="7" t="e">
        <f>(_xlfn.XLOOKUP(Teams[[#This Row],[year]],Table1[year],Table1[cutoff])-Teams[[#This Row],[finish]])*1440</f>
        <v>#N/A</v>
      </c>
      <c r="I286" s="6" t="e" cm="1">
        <f t="array" ref="I286">(Teams[[#This Row],[remaining]]+60)*Teams[[#This Row],[winners alt]]/_xlfn.XLOOKUP(1,(Table1[year]=Teams[[#This Row],[year]])*(Table1[division]=Teams[[#This Row],[division]]),Table1[available])</f>
        <v>#N/A</v>
      </c>
    </row>
    <row r="287" spans="1:9" x14ac:dyDescent="0.3">
      <c r="A287" t="s">
        <v>15</v>
      </c>
      <c r="B287">
        <v>4</v>
      </c>
      <c r="C287">
        <v>2026</v>
      </c>
      <c r="F287" s="1" t="e">
        <f>AVERAGEIFS(Teams[finish],Teams[year],Teams[[#This Row],[year]],Teams[division],Teams[[#This Row],[division]],Teams[college],"&lt;&gt;Div *")</f>
        <v>#DIV/0!</v>
      </c>
      <c r="G287" s="7" t="e" cm="1">
        <f t="array" ref="G287">MOD(Teams[[#This Row],[winners]]-_xlfn.XLOOKUP(1,(Table1[year]=Teams[[#This Row],[year]])*(Table1[division]=Teams[[#This Row],[division]]),Table1[drop]),1)*1440</f>
        <v>#DIV/0!</v>
      </c>
      <c r="H287" s="7" t="e">
        <f>(_xlfn.XLOOKUP(Teams[[#This Row],[year]],Table1[year],Table1[cutoff])-Teams[[#This Row],[finish]])*1440</f>
        <v>#N/A</v>
      </c>
      <c r="I287" s="6" t="e" cm="1">
        <f t="array" ref="I287">(Teams[[#This Row],[remaining]]+60)*Teams[[#This Row],[winners alt]]/_xlfn.XLOOKUP(1,(Table1[year]=Teams[[#This Row],[year]])*(Table1[division]=Teams[[#This Row],[division]]),Table1[available])</f>
        <v>#N/A</v>
      </c>
    </row>
    <row r="288" spans="1:9" x14ac:dyDescent="0.3">
      <c r="A288" t="s">
        <v>15</v>
      </c>
      <c r="B288">
        <v>5</v>
      </c>
      <c r="C288">
        <v>2026</v>
      </c>
      <c r="F288" s="1" t="e">
        <f>AVERAGEIFS(Teams[finish],Teams[year],Teams[[#This Row],[year]],Teams[division],Teams[[#This Row],[division]],Teams[college],"&lt;&gt;Div *")</f>
        <v>#DIV/0!</v>
      </c>
      <c r="G288" s="7" t="e" cm="1">
        <f t="array" ref="G288">MOD(Teams[[#This Row],[winners]]-_xlfn.XLOOKUP(1,(Table1[year]=Teams[[#This Row],[year]])*(Table1[division]=Teams[[#This Row],[division]]),Table1[drop]),1)*1440</f>
        <v>#DIV/0!</v>
      </c>
      <c r="H288" s="7" t="e">
        <f>(_xlfn.XLOOKUP(Teams[[#This Row],[year]],Table1[year],Table1[cutoff])-Teams[[#This Row],[finish]])*1440</f>
        <v>#N/A</v>
      </c>
      <c r="I288" s="6" t="e" cm="1">
        <f t="array" ref="I288">(Teams[[#This Row],[remaining]]+60)*Teams[[#This Row],[winners alt]]/_xlfn.XLOOKUP(1,(Table1[year]=Teams[[#This Row],[year]])*(Table1[division]=Teams[[#This Row],[division]]),Table1[available])</f>
        <v>#N/A</v>
      </c>
    </row>
    <row r="289" spans="1:9" x14ac:dyDescent="0.3">
      <c r="A289" t="s">
        <v>15</v>
      </c>
      <c r="B289">
        <v>6</v>
      </c>
      <c r="C289">
        <v>2026</v>
      </c>
      <c r="F289" s="1" t="e">
        <f>AVERAGEIFS(Teams[finish],Teams[year],Teams[[#This Row],[year]],Teams[division],Teams[[#This Row],[division]],Teams[college],"&lt;&gt;Div *")</f>
        <v>#DIV/0!</v>
      </c>
      <c r="G289" s="7" t="e" cm="1">
        <f t="array" ref="G289">MOD(Teams[[#This Row],[winners]]-_xlfn.XLOOKUP(1,(Table1[year]=Teams[[#This Row],[year]])*(Table1[division]=Teams[[#This Row],[division]]),Table1[drop]),1)*1440</f>
        <v>#DIV/0!</v>
      </c>
      <c r="H289" s="7" t="e">
        <f>(_xlfn.XLOOKUP(Teams[[#This Row],[year]],Table1[year],Table1[cutoff])-Teams[[#This Row],[finish]])*1440</f>
        <v>#N/A</v>
      </c>
      <c r="I289" s="6" t="e" cm="1">
        <f t="array" ref="I289">(Teams[[#This Row],[remaining]]+60)*Teams[[#This Row],[winners alt]]/_xlfn.XLOOKUP(1,(Table1[year]=Teams[[#This Row],[year]])*(Table1[division]=Teams[[#This Row],[division]]),Table1[available])</f>
        <v>#N/A</v>
      </c>
    </row>
    <row r="290" spans="1:9" x14ac:dyDescent="0.3">
      <c r="A290" t="s">
        <v>15</v>
      </c>
      <c r="B290">
        <v>7</v>
      </c>
      <c r="C290">
        <v>2026</v>
      </c>
      <c r="F290" s="1" t="e">
        <f>AVERAGEIFS(Teams[finish],Teams[year],Teams[[#This Row],[year]],Teams[division],Teams[[#This Row],[division]],Teams[college],"&lt;&gt;Div *")</f>
        <v>#DIV/0!</v>
      </c>
      <c r="G290" s="7" t="e" cm="1">
        <f t="array" ref="G290">MOD(Teams[[#This Row],[winners]]-_xlfn.XLOOKUP(1,(Table1[year]=Teams[[#This Row],[year]])*(Table1[division]=Teams[[#This Row],[division]]),Table1[drop]),1)*1440</f>
        <v>#DIV/0!</v>
      </c>
      <c r="H290" s="7" t="e">
        <f>(_xlfn.XLOOKUP(Teams[[#This Row],[year]],Table1[year],Table1[cutoff])-Teams[[#This Row],[finish]])*1440</f>
        <v>#N/A</v>
      </c>
      <c r="I290" s="6" t="e" cm="1">
        <f t="array" ref="I290">(Teams[[#This Row],[remaining]]+60)*Teams[[#This Row],[winners alt]]/_xlfn.XLOOKUP(1,(Table1[year]=Teams[[#This Row],[year]])*(Table1[division]=Teams[[#This Row],[division]]),Table1[available])</f>
        <v>#N/A</v>
      </c>
    </row>
    <row r="291" spans="1:9" x14ac:dyDescent="0.3">
      <c r="A291" t="s">
        <v>123</v>
      </c>
      <c r="B291">
        <v>1</v>
      </c>
      <c r="C291">
        <v>2026</v>
      </c>
      <c r="F291" s="1" t="e">
        <f>AVERAGEIFS(Teams[finish],Teams[year],Teams[[#This Row],[year]],Teams[division],Teams[[#This Row],[division]],Teams[college],"&lt;&gt;Div *")</f>
        <v>#DIV/0!</v>
      </c>
      <c r="G291" s="7" t="e" cm="1">
        <f t="array" ref="G291">MOD(Teams[[#This Row],[winners]]-_xlfn.XLOOKUP(1,(Table1[year]=Teams[[#This Row],[year]])*(Table1[division]=Teams[[#This Row],[division]]),Table1[drop]),1)*1440</f>
        <v>#DIV/0!</v>
      </c>
      <c r="H291" s="7" t="e">
        <f>(_xlfn.XLOOKUP(Teams[[#This Row],[year]],Table1[year],Table1[cutoff])-Teams[[#This Row],[finish]])*1440</f>
        <v>#N/A</v>
      </c>
      <c r="I291" s="6" t="e" cm="1">
        <f t="array" ref="I291">(Teams[[#This Row],[remaining]]+60)*Teams[[#This Row],[winners alt]]/_xlfn.XLOOKUP(1,(Table1[year]=Teams[[#This Row],[year]])*(Table1[division]=Teams[[#This Row],[division]]),Table1[available])</f>
        <v>#N/A</v>
      </c>
    </row>
    <row r="292" spans="1:9" x14ac:dyDescent="0.3">
      <c r="A292" t="s">
        <v>123</v>
      </c>
      <c r="B292">
        <v>2</v>
      </c>
      <c r="C292">
        <v>2026</v>
      </c>
      <c r="F292" s="1" t="e">
        <f>AVERAGEIFS(Teams[finish],Teams[year],Teams[[#This Row],[year]],Teams[division],Teams[[#This Row],[division]],Teams[college],"&lt;&gt;Div *")</f>
        <v>#DIV/0!</v>
      </c>
      <c r="G292" s="7" t="e" cm="1">
        <f t="array" ref="G292">MOD(Teams[[#This Row],[winners]]-_xlfn.XLOOKUP(1,(Table1[year]=Teams[[#This Row],[year]])*(Table1[division]=Teams[[#This Row],[division]]),Table1[drop]),1)*1440</f>
        <v>#DIV/0!</v>
      </c>
      <c r="H292" s="7" t="e">
        <f>(_xlfn.XLOOKUP(Teams[[#This Row],[year]],Table1[year],Table1[cutoff])-Teams[[#This Row],[finish]])*1440</f>
        <v>#N/A</v>
      </c>
      <c r="I292" s="6" t="e" cm="1">
        <f t="array" ref="I292">(Teams[[#This Row],[remaining]]+60)*Teams[[#This Row],[winners alt]]/_xlfn.XLOOKUP(1,(Table1[year]=Teams[[#This Row],[year]])*(Table1[division]=Teams[[#This Row],[division]]),Table1[available])</f>
        <v>#N/A</v>
      </c>
    </row>
    <row r="293" spans="1:9" x14ac:dyDescent="0.3">
      <c r="A293" t="s">
        <v>123</v>
      </c>
      <c r="B293">
        <v>3</v>
      </c>
      <c r="C293">
        <v>2026</v>
      </c>
      <c r="F293" s="1" t="e">
        <f>AVERAGEIFS(Teams[finish],Teams[year],Teams[[#This Row],[year]],Teams[division],Teams[[#This Row],[division]],Teams[college],"&lt;&gt;Div *")</f>
        <v>#DIV/0!</v>
      </c>
      <c r="G293" s="7" t="e" cm="1">
        <f t="array" ref="G293">MOD(Teams[[#This Row],[winners]]-_xlfn.XLOOKUP(1,(Table1[year]=Teams[[#This Row],[year]])*(Table1[division]=Teams[[#This Row],[division]]),Table1[drop]),1)*1440</f>
        <v>#DIV/0!</v>
      </c>
      <c r="H293" s="7" t="e">
        <f>(_xlfn.XLOOKUP(Teams[[#This Row],[year]],Table1[year],Table1[cutoff])-Teams[[#This Row],[finish]])*1440</f>
        <v>#N/A</v>
      </c>
      <c r="I293" s="6" t="e" cm="1">
        <f t="array" ref="I293">(Teams[[#This Row],[remaining]]+60)*Teams[[#This Row],[winners alt]]/_xlfn.XLOOKUP(1,(Table1[year]=Teams[[#This Row],[year]])*(Table1[division]=Teams[[#This Row],[division]]),Table1[available])</f>
        <v>#N/A</v>
      </c>
    </row>
    <row r="294" spans="1:9" x14ac:dyDescent="0.3">
      <c r="A294" t="s">
        <v>123</v>
      </c>
      <c r="B294">
        <v>4</v>
      </c>
      <c r="C294">
        <v>2026</v>
      </c>
      <c r="F294" s="1" t="e">
        <f>AVERAGEIFS(Teams[finish],Teams[year],Teams[[#This Row],[year]],Teams[division],Teams[[#This Row],[division]],Teams[college],"&lt;&gt;Div *")</f>
        <v>#DIV/0!</v>
      </c>
      <c r="G294" s="7" t="e" cm="1">
        <f t="array" ref="G294">MOD(Teams[[#This Row],[winners]]-_xlfn.XLOOKUP(1,(Table1[year]=Teams[[#This Row],[year]])*(Table1[division]=Teams[[#This Row],[division]]),Table1[drop]),1)*1440</f>
        <v>#DIV/0!</v>
      </c>
      <c r="H294" s="7" t="e">
        <f>(_xlfn.XLOOKUP(Teams[[#This Row],[year]],Table1[year],Table1[cutoff])-Teams[[#This Row],[finish]])*1440</f>
        <v>#N/A</v>
      </c>
      <c r="I294" s="6" t="e" cm="1">
        <f t="array" ref="I294">(Teams[[#This Row],[remaining]]+60)*Teams[[#This Row],[winners alt]]/_xlfn.XLOOKUP(1,(Table1[year]=Teams[[#This Row],[year]])*(Table1[division]=Teams[[#This Row],[division]]),Table1[available])</f>
        <v>#N/A</v>
      </c>
    </row>
    <row r="295" spans="1:9" x14ac:dyDescent="0.3">
      <c r="A295" t="s">
        <v>123</v>
      </c>
      <c r="B295">
        <v>5</v>
      </c>
      <c r="C295">
        <v>2026</v>
      </c>
      <c r="F295" s="1" t="e">
        <f>AVERAGEIFS(Teams[finish],Teams[year],Teams[[#This Row],[year]],Teams[division],Teams[[#This Row],[division]],Teams[college],"&lt;&gt;Div *")</f>
        <v>#DIV/0!</v>
      </c>
      <c r="G295" s="7" t="e" cm="1">
        <f t="array" ref="G295">MOD(Teams[[#This Row],[winners]]-_xlfn.XLOOKUP(1,(Table1[year]=Teams[[#This Row],[year]])*(Table1[division]=Teams[[#This Row],[division]]),Table1[drop]),1)*1440</f>
        <v>#DIV/0!</v>
      </c>
      <c r="H295" s="7" t="e">
        <f>(_xlfn.XLOOKUP(Teams[[#This Row],[year]],Table1[year],Table1[cutoff])-Teams[[#This Row],[finish]])*1440</f>
        <v>#N/A</v>
      </c>
      <c r="I295" s="6" t="e" cm="1">
        <f t="array" ref="I295">(Teams[[#This Row],[remaining]]+60)*Teams[[#This Row],[winners alt]]/_xlfn.XLOOKUP(1,(Table1[year]=Teams[[#This Row],[year]])*(Table1[division]=Teams[[#This Row],[division]]),Table1[available])</f>
        <v>#N/A</v>
      </c>
    </row>
    <row r="296" spans="1:9" x14ac:dyDescent="0.3">
      <c r="A296" t="s">
        <v>123</v>
      </c>
      <c r="B296">
        <v>6</v>
      </c>
      <c r="C296">
        <v>2026</v>
      </c>
      <c r="F296" s="1" t="e">
        <f>AVERAGEIFS(Teams[finish],Teams[year],Teams[[#This Row],[year]],Teams[division],Teams[[#This Row],[division]],Teams[college],"&lt;&gt;Div *")</f>
        <v>#DIV/0!</v>
      </c>
      <c r="G296" s="7" t="e" cm="1">
        <f t="array" ref="G296">MOD(Teams[[#This Row],[winners]]-_xlfn.XLOOKUP(1,(Table1[year]=Teams[[#This Row],[year]])*(Table1[division]=Teams[[#This Row],[division]]),Table1[drop]),1)*1440</f>
        <v>#DIV/0!</v>
      </c>
      <c r="H296" s="7" t="e">
        <f>(_xlfn.XLOOKUP(Teams[[#This Row],[year]],Table1[year],Table1[cutoff])-Teams[[#This Row],[finish]])*1440</f>
        <v>#N/A</v>
      </c>
      <c r="I296" s="6" t="e" cm="1">
        <f t="array" ref="I296">(Teams[[#This Row],[remaining]]+60)*Teams[[#This Row],[winners alt]]/_xlfn.XLOOKUP(1,(Table1[year]=Teams[[#This Row],[year]])*(Table1[division]=Teams[[#This Row],[division]]),Table1[available])</f>
        <v>#N/A</v>
      </c>
    </row>
    <row r="297" spans="1:9" x14ac:dyDescent="0.3">
      <c r="A297" t="s">
        <v>123</v>
      </c>
      <c r="B297">
        <v>7</v>
      </c>
      <c r="C297">
        <v>2026</v>
      </c>
      <c r="F297" s="1" t="e">
        <f>AVERAGEIFS(Teams[finish],Teams[year],Teams[[#This Row],[year]],Teams[division],Teams[[#This Row],[division]],Teams[college],"&lt;&gt;Div *")</f>
        <v>#DIV/0!</v>
      </c>
      <c r="G297" s="7" t="e" cm="1">
        <f t="array" ref="G297">MOD(Teams[[#This Row],[winners]]-_xlfn.XLOOKUP(1,(Table1[year]=Teams[[#This Row],[year]])*(Table1[division]=Teams[[#This Row],[division]]),Table1[drop]),1)*1440</f>
        <v>#DIV/0!</v>
      </c>
      <c r="H297" s="7" t="e">
        <f>(_xlfn.XLOOKUP(Teams[[#This Row],[year]],Table1[year],Table1[cutoff])-Teams[[#This Row],[finish]])*1440</f>
        <v>#N/A</v>
      </c>
      <c r="I297" s="6" t="e" cm="1">
        <f t="array" ref="I297">(Teams[[#This Row],[remaining]]+60)*Teams[[#This Row],[winners alt]]/_xlfn.XLOOKUP(1,(Table1[year]=Teams[[#This Row],[year]])*(Table1[division]=Teams[[#This Row],[division]]),Table1[available])</f>
        <v>#N/A</v>
      </c>
    </row>
    <row r="298" spans="1:9" x14ac:dyDescent="0.3">
      <c r="A298" t="s">
        <v>137</v>
      </c>
      <c r="B298">
        <v>1</v>
      </c>
      <c r="C298">
        <v>2026</v>
      </c>
      <c r="F298" s="1" t="e">
        <f>AVERAGEIFS(Teams[finish],Teams[year],Teams[[#This Row],[year]],Teams[division],Teams[[#This Row],[division]],Teams[college],"&lt;&gt;Div *")</f>
        <v>#DIV/0!</v>
      </c>
      <c r="G298" s="7" t="e" cm="1">
        <f t="array" ref="G298">MOD(Teams[[#This Row],[winners]]-_xlfn.XLOOKUP(1,(Table1[year]=Teams[[#This Row],[year]])*(Table1[division]=Teams[[#This Row],[division]]),Table1[drop]),1)*1440</f>
        <v>#DIV/0!</v>
      </c>
      <c r="H298" s="7" t="e">
        <f>(_xlfn.XLOOKUP(Teams[[#This Row],[year]],Table1[year],Table1[cutoff])-Teams[[#This Row],[finish]])*1440</f>
        <v>#N/A</v>
      </c>
      <c r="I298" s="6" t="e" cm="1">
        <f t="array" ref="I298">(Teams[[#This Row],[remaining]]+60)*Teams[[#This Row],[winners alt]]/_xlfn.XLOOKUP(1,(Table1[year]=Teams[[#This Row],[year]])*(Table1[division]=Teams[[#This Row],[division]]),Table1[available])</f>
        <v>#N/A</v>
      </c>
    </row>
    <row r="299" spans="1:9" x14ac:dyDescent="0.3">
      <c r="A299" t="s">
        <v>137</v>
      </c>
      <c r="B299">
        <v>2</v>
      </c>
      <c r="C299">
        <v>2026</v>
      </c>
      <c r="F299" s="1" t="e">
        <f>AVERAGEIFS(Teams[finish],Teams[year],Teams[[#This Row],[year]],Teams[division],Teams[[#This Row],[division]],Teams[college],"&lt;&gt;Div *")</f>
        <v>#DIV/0!</v>
      </c>
      <c r="G299" s="7" t="e" cm="1">
        <f t="array" ref="G299">MOD(Teams[[#This Row],[winners]]-_xlfn.XLOOKUP(1,(Table1[year]=Teams[[#This Row],[year]])*(Table1[division]=Teams[[#This Row],[division]]),Table1[drop]),1)*1440</f>
        <v>#DIV/0!</v>
      </c>
      <c r="H299" s="7" t="e">
        <f>(_xlfn.XLOOKUP(Teams[[#This Row],[year]],Table1[year],Table1[cutoff])-Teams[[#This Row],[finish]])*1440</f>
        <v>#N/A</v>
      </c>
      <c r="I299" s="6" t="e" cm="1">
        <f t="array" ref="I299">(Teams[[#This Row],[remaining]]+60)*Teams[[#This Row],[winners alt]]/_xlfn.XLOOKUP(1,(Table1[year]=Teams[[#This Row],[year]])*(Table1[division]=Teams[[#This Row],[division]]),Table1[available])</f>
        <v>#N/A</v>
      </c>
    </row>
    <row r="300" spans="1:9" x14ac:dyDescent="0.3">
      <c r="A300" t="s">
        <v>137</v>
      </c>
      <c r="B300">
        <v>3</v>
      </c>
      <c r="C300">
        <v>2026</v>
      </c>
      <c r="F300" s="1" t="e">
        <f>AVERAGEIFS(Teams[finish],Teams[year],Teams[[#This Row],[year]],Teams[division],Teams[[#This Row],[division]],Teams[college],"&lt;&gt;Div *")</f>
        <v>#DIV/0!</v>
      </c>
      <c r="G300" s="7" t="e" cm="1">
        <f t="array" ref="G300">MOD(Teams[[#This Row],[winners]]-_xlfn.XLOOKUP(1,(Table1[year]=Teams[[#This Row],[year]])*(Table1[division]=Teams[[#This Row],[division]]),Table1[drop]),1)*1440</f>
        <v>#DIV/0!</v>
      </c>
      <c r="H300" s="7" t="e">
        <f>(_xlfn.XLOOKUP(Teams[[#This Row],[year]],Table1[year],Table1[cutoff])-Teams[[#This Row],[finish]])*1440</f>
        <v>#N/A</v>
      </c>
      <c r="I300" s="6" t="e" cm="1">
        <f t="array" ref="I300">(Teams[[#This Row],[remaining]]+60)*Teams[[#This Row],[winners alt]]/_xlfn.XLOOKUP(1,(Table1[year]=Teams[[#This Row],[year]])*(Table1[division]=Teams[[#This Row],[division]]),Table1[available])</f>
        <v>#N/A</v>
      </c>
    </row>
    <row r="301" spans="1:9" x14ac:dyDescent="0.3">
      <c r="A301" t="s">
        <v>137</v>
      </c>
      <c r="B301">
        <v>4</v>
      </c>
      <c r="C301">
        <v>2026</v>
      </c>
      <c r="F301" s="1" t="e">
        <f>AVERAGEIFS(Teams[finish],Teams[year],Teams[[#This Row],[year]],Teams[division],Teams[[#This Row],[division]],Teams[college],"&lt;&gt;Div *")</f>
        <v>#DIV/0!</v>
      </c>
      <c r="G301" s="7" t="e" cm="1">
        <f t="array" ref="G301">MOD(Teams[[#This Row],[winners]]-_xlfn.XLOOKUP(1,(Table1[year]=Teams[[#This Row],[year]])*(Table1[division]=Teams[[#This Row],[division]]),Table1[drop]),1)*1440</f>
        <v>#DIV/0!</v>
      </c>
      <c r="H301" s="7" t="e">
        <f>(_xlfn.XLOOKUP(Teams[[#This Row],[year]],Table1[year],Table1[cutoff])-Teams[[#This Row],[finish]])*1440</f>
        <v>#N/A</v>
      </c>
      <c r="I301" s="6" t="e" cm="1">
        <f t="array" ref="I301">(Teams[[#This Row],[remaining]]+60)*Teams[[#This Row],[winners alt]]/_xlfn.XLOOKUP(1,(Table1[year]=Teams[[#This Row],[year]])*(Table1[division]=Teams[[#This Row],[division]]),Table1[available])</f>
        <v>#N/A</v>
      </c>
    </row>
    <row r="302" spans="1:9" x14ac:dyDescent="0.3">
      <c r="A302" t="s">
        <v>137</v>
      </c>
      <c r="B302">
        <v>5</v>
      </c>
      <c r="C302">
        <v>2026</v>
      </c>
      <c r="F302" s="1" t="e">
        <f>AVERAGEIFS(Teams[finish],Teams[year],Teams[[#This Row],[year]],Teams[division],Teams[[#This Row],[division]],Teams[college],"&lt;&gt;Div *")</f>
        <v>#DIV/0!</v>
      </c>
      <c r="G302" s="7" t="e" cm="1">
        <f t="array" ref="G302">MOD(Teams[[#This Row],[winners]]-_xlfn.XLOOKUP(1,(Table1[year]=Teams[[#This Row],[year]])*(Table1[division]=Teams[[#This Row],[division]]),Table1[drop]),1)*1440</f>
        <v>#DIV/0!</v>
      </c>
      <c r="H302" s="7" t="e">
        <f>(_xlfn.XLOOKUP(Teams[[#This Row],[year]],Table1[year],Table1[cutoff])-Teams[[#This Row],[finish]])*1440</f>
        <v>#N/A</v>
      </c>
      <c r="I302" s="6" t="e" cm="1">
        <f t="array" ref="I302">(Teams[[#This Row],[remaining]]+60)*Teams[[#This Row],[winners alt]]/_xlfn.XLOOKUP(1,(Table1[year]=Teams[[#This Row],[year]])*(Table1[division]=Teams[[#This Row],[division]]),Table1[available])</f>
        <v>#N/A</v>
      </c>
    </row>
    <row r="303" spans="1:9" x14ac:dyDescent="0.3">
      <c r="A303" t="s">
        <v>137</v>
      </c>
      <c r="B303">
        <v>6</v>
      </c>
      <c r="C303">
        <v>2026</v>
      </c>
      <c r="F303" s="1" t="e">
        <f>AVERAGEIFS(Teams[finish],Teams[year],Teams[[#This Row],[year]],Teams[division],Teams[[#This Row],[division]],Teams[college],"&lt;&gt;Div *")</f>
        <v>#DIV/0!</v>
      </c>
      <c r="G303" s="7" t="e" cm="1">
        <f t="array" ref="G303">MOD(Teams[[#This Row],[winners]]-_xlfn.XLOOKUP(1,(Table1[year]=Teams[[#This Row],[year]])*(Table1[division]=Teams[[#This Row],[division]]),Table1[drop]),1)*1440</f>
        <v>#DIV/0!</v>
      </c>
      <c r="H303" s="7" t="e">
        <f>(_xlfn.XLOOKUP(Teams[[#This Row],[year]],Table1[year],Table1[cutoff])-Teams[[#This Row],[finish]])*1440</f>
        <v>#N/A</v>
      </c>
      <c r="I303" s="6" t="e" cm="1">
        <f t="array" ref="I303">(Teams[[#This Row],[remaining]]+60)*Teams[[#This Row],[winners alt]]/_xlfn.XLOOKUP(1,(Table1[year]=Teams[[#This Row],[year]])*(Table1[division]=Teams[[#This Row],[division]]),Table1[available])</f>
        <v>#N/A</v>
      </c>
    </row>
    <row r="304" spans="1:9" x14ac:dyDescent="0.3">
      <c r="A304" t="s">
        <v>137</v>
      </c>
      <c r="B304">
        <v>7</v>
      </c>
      <c r="C304">
        <v>2026</v>
      </c>
      <c r="F304" s="1" t="e">
        <f>AVERAGEIFS(Teams[finish],Teams[year],Teams[[#This Row],[year]],Teams[division],Teams[[#This Row],[division]],Teams[college],"&lt;&gt;Div *")</f>
        <v>#DIV/0!</v>
      </c>
      <c r="G304" s="7" t="e" cm="1">
        <f t="array" ref="G304">MOD(Teams[[#This Row],[winners]]-_xlfn.XLOOKUP(1,(Table1[year]=Teams[[#This Row],[year]])*(Table1[division]=Teams[[#This Row],[division]]),Table1[drop]),1)*1440</f>
        <v>#DIV/0!</v>
      </c>
      <c r="H304" s="7" t="e">
        <f>(_xlfn.XLOOKUP(Teams[[#This Row],[year]],Table1[year],Table1[cutoff])-Teams[[#This Row],[finish]])*1440</f>
        <v>#N/A</v>
      </c>
      <c r="I304" s="6" t="e" cm="1">
        <f t="array" ref="I304">(Teams[[#This Row],[remaining]]+60)*Teams[[#This Row],[winners alt]]/_xlfn.XLOOKUP(1,(Table1[year]=Teams[[#This Row],[year]])*(Table1[division]=Teams[[#This Row],[division]]),Table1[available])</f>
        <v>#N/A</v>
      </c>
    </row>
    <row r="305" spans="1:9" x14ac:dyDescent="0.3">
      <c r="A305" t="s">
        <v>5</v>
      </c>
      <c r="B305">
        <v>1</v>
      </c>
      <c r="C305">
        <v>2026</v>
      </c>
      <c r="F305" s="1" t="e">
        <f>AVERAGEIFS(Teams[finish],Teams[year],Teams[[#This Row],[year]],Teams[division],Teams[[#This Row],[division]],Teams[college],"&lt;&gt;Div *")</f>
        <v>#DIV/0!</v>
      </c>
      <c r="G305" s="7" t="e" cm="1">
        <f t="array" ref="G305">MOD(Teams[[#This Row],[winners]]-_xlfn.XLOOKUP(1,(Table1[year]=Teams[[#This Row],[year]])*(Table1[division]=Teams[[#This Row],[division]]),Table1[drop]),1)*1440</f>
        <v>#DIV/0!</v>
      </c>
      <c r="H305" s="7" t="e">
        <f>(_xlfn.XLOOKUP(Teams[[#This Row],[year]],Table1[year],Table1[cutoff])-Teams[[#This Row],[finish]])*1440</f>
        <v>#N/A</v>
      </c>
      <c r="I305" s="6" t="e" cm="1">
        <f t="array" ref="I305">(Teams[[#This Row],[remaining]]+60)*Teams[[#This Row],[winners alt]]/_xlfn.XLOOKUP(1,(Table1[year]=Teams[[#This Row],[year]])*(Table1[division]=Teams[[#This Row],[division]]),Table1[available])</f>
        <v>#N/A</v>
      </c>
    </row>
    <row r="306" spans="1:9" x14ac:dyDescent="0.3">
      <c r="A306" t="s">
        <v>5</v>
      </c>
      <c r="B306">
        <v>2</v>
      </c>
      <c r="C306">
        <v>2026</v>
      </c>
      <c r="F306" s="1" t="e">
        <f>AVERAGEIFS(Teams[finish],Teams[year],Teams[[#This Row],[year]],Teams[division],Teams[[#This Row],[division]],Teams[college],"&lt;&gt;Div *")</f>
        <v>#DIV/0!</v>
      </c>
      <c r="G306" s="7" t="e" cm="1">
        <f t="array" ref="G306">MOD(Teams[[#This Row],[winners]]-_xlfn.XLOOKUP(1,(Table1[year]=Teams[[#This Row],[year]])*(Table1[division]=Teams[[#This Row],[division]]),Table1[drop]),1)*1440</f>
        <v>#DIV/0!</v>
      </c>
      <c r="H306" s="7" t="e">
        <f>(_xlfn.XLOOKUP(Teams[[#This Row],[year]],Table1[year],Table1[cutoff])-Teams[[#This Row],[finish]])*1440</f>
        <v>#N/A</v>
      </c>
      <c r="I306" s="6" t="e" cm="1">
        <f t="array" ref="I306">(Teams[[#This Row],[remaining]]+60)*Teams[[#This Row],[winners alt]]/_xlfn.XLOOKUP(1,(Table1[year]=Teams[[#This Row],[year]])*(Table1[division]=Teams[[#This Row],[division]]),Table1[available])</f>
        <v>#N/A</v>
      </c>
    </row>
    <row r="307" spans="1:9" x14ac:dyDescent="0.3">
      <c r="A307" t="s">
        <v>5</v>
      </c>
      <c r="B307">
        <v>3</v>
      </c>
      <c r="C307">
        <v>2026</v>
      </c>
      <c r="F307" s="1" t="e">
        <f>AVERAGEIFS(Teams[finish],Teams[year],Teams[[#This Row],[year]],Teams[division],Teams[[#This Row],[division]],Teams[college],"&lt;&gt;Div *")</f>
        <v>#DIV/0!</v>
      </c>
      <c r="G307" s="7" t="e" cm="1">
        <f t="array" ref="G307">MOD(Teams[[#This Row],[winners]]-_xlfn.XLOOKUP(1,(Table1[year]=Teams[[#This Row],[year]])*(Table1[division]=Teams[[#This Row],[division]]),Table1[drop]),1)*1440</f>
        <v>#DIV/0!</v>
      </c>
      <c r="H307" s="7" t="e">
        <f>(_xlfn.XLOOKUP(Teams[[#This Row],[year]],Table1[year],Table1[cutoff])-Teams[[#This Row],[finish]])*1440</f>
        <v>#N/A</v>
      </c>
      <c r="I307" s="6" t="e" cm="1">
        <f t="array" ref="I307">(Teams[[#This Row],[remaining]]+60)*Teams[[#This Row],[winners alt]]/_xlfn.XLOOKUP(1,(Table1[year]=Teams[[#This Row],[year]])*(Table1[division]=Teams[[#This Row],[division]]),Table1[available])</f>
        <v>#N/A</v>
      </c>
    </row>
    <row r="308" spans="1:9" x14ac:dyDescent="0.3">
      <c r="A308" t="s">
        <v>5</v>
      </c>
      <c r="B308">
        <v>4</v>
      </c>
      <c r="C308">
        <v>2026</v>
      </c>
      <c r="F308" s="1" t="e">
        <f>AVERAGEIFS(Teams[finish],Teams[year],Teams[[#This Row],[year]],Teams[division],Teams[[#This Row],[division]],Teams[college],"&lt;&gt;Div *")</f>
        <v>#DIV/0!</v>
      </c>
      <c r="G308" s="7" t="e" cm="1">
        <f t="array" ref="G308">MOD(Teams[[#This Row],[winners]]-_xlfn.XLOOKUP(1,(Table1[year]=Teams[[#This Row],[year]])*(Table1[division]=Teams[[#This Row],[division]]),Table1[drop]),1)*1440</f>
        <v>#DIV/0!</v>
      </c>
      <c r="H308" s="7" t="e">
        <f>(_xlfn.XLOOKUP(Teams[[#This Row],[year]],Table1[year],Table1[cutoff])-Teams[[#This Row],[finish]])*1440</f>
        <v>#N/A</v>
      </c>
      <c r="I308" s="6" t="e" cm="1">
        <f t="array" ref="I308">(Teams[[#This Row],[remaining]]+60)*Teams[[#This Row],[winners alt]]/_xlfn.XLOOKUP(1,(Table1[year]=Teams[[#This Row],[year]])*(Table1[division]=Teams[[#This Row],[division]]),Table1[available])</f>
        <v>#N/A</v>
      </c>
    </row>
    <row r="309" spans="1:9" x14ac:dyDescent="0.3">
      <c r="A309" t="s">
        <v>5</v>
      </c>
      <c r="B309">
        <v>5</v>
      </c>
      <c r="C309">
        <v>2026</v>
      </c>
      <c r="F309" s="1" t="e">
        <f>AVERAGEIFS(Teams[finish],Teams[year],Teams[[#This Row],[year]],Teams[division],Teams[[#This Row],[division]],Teams[college],"&lt;&gt;Div *")</f>
        <v>#DIV/0!</v>
      </c>
      <c r="G309" s="7" t="e" cm="1">
        <f t="array" ref="G309">MOD(Teams[[#This Row],[winners]]-_xlfn.XLOOKUP(1,(Table1[year]=Teams[[#This Row],[year]])*(Table1[division]=Teams[[#This Row],[division]]),Table1[drop]),1)*1440</f>
        <v>#DIV/0!</v>
      </c>
      <c r="H309" s="7" t="e">
        <f>(_xlfn.XLOOKUP(Teams[[#This Row],[year]],Table1[year],Table1[cutoff])-Teams[[#This Row],[finish]])*1440</f>
        <v>#N/A</v>
      </c>
      <c r="I309" s="6" t="e" cm="1">
        <f t="array" ref="I309">(Teams[[#This Row],[remaining]]+60)*Teams[[#This Row],[winners alt]]/_xlfn.XLOOKUP(1,(Table1[year]=Teams[[#This Row],[year]])*(Table1[division]=Teams[[#This Row],[division]]),Table1[available])</f>
        <v>#N/A</v>
      </c>
    </row>
    <row r="310" spans="1:9" x14ac:dyDescent="0.3">
      <c r="A310" t="s">
        <v>5</v>
      </c>
      <c r="B310">
        <v>6</v>
      </c>
      <c r="C310">
        <v>2026</v>
      </c>
      <c r="F310" s="1" t="e">
        <f>AVERAGEIFS(Teams[finish],Teams[year],Teams[[#This Row],[year]],Teams[division],Teams[[#This Row],[division]],Teams[college],"&lt;&gt;Div *")</f>
        <v>#DIV/0!</v>
      </c>
      <c r="G310" s="7" t="e" cm="1">
        <f t="array" ref="G310">MOD(Teams[[#This Row],[winners]]-_xlfn.XLOOKUP(1,(Table1[year]=Teams[[#This Row],[year]])*(Table1[division]=Teams[[#This Row],[division]]),Table1[drop]),1)*1440</f>
        <v>#DIV/0!</v>
      </c>
      <c r="H310" s="7" t="e">
        <f>(_xlfn.XLOOKUP(Teams[[#This Row],[year]],Table1[year],Table1[cutoff])-Teams[[#This Row],[finish]])*1440</f>
        <v>#N/A</v>
      </c>
      <c r="I310" s="6" t="e" cm="1">
        <f t="array" ref="I310">(Teams[[#This Row],[remaining]]+60)*Teams[[#This Row],[winners alt]]/_xlfn.XLOOKUP(1,(Table1[year]=Teams[[#This Row],[year]])*(Table1[division]=Teams[[#This Row],[division]]),Table1[available])</f>
        <v>#N/A</v>
      </c>
    </row>
    <row r="311" spans="1:9" x14ac:dyDescent="0.3">
      <c r="A311" t="s">
        <v>5</v>
      </c>
      <c r="B311">
        <v>7</v>
      </c>
      <c r="C311">
        <v>2026</v>
      </c>
      <c r="F311" s="1" t="e">
        <f>AVERAGEIFS(Teams[finish],Teams[year],Teams[[#This Row],[year]],Teams[division],Teams[[#This Row],[division]],Teams[college],"&lt;&gt;Div *")</f>
        <v>#DIV/0!</v>
      </c>
      <c r="G311" s="7" t="e" cm="1">
        <f t="array" ref="G311">MOD(Teams[[#This Row],[winners]]-_xlfn.XLOOKUP(1,(Table1[year]=Teams[[#This Row],[year]])*(Table1[division]=Teams[[#This Row],[division]]),Table1[drop]),1)*1440</f>
        <v>#DIV/0!</v>
      </c>
      <c r="H311" s="7" t="e">
        <f>(_xlfn.XLOOKUP(Teams[[#This Row],[year]],Table1[year],Table1[cutoff])-Teams[[#This Row],[finish]])*1440</f>
        <v>#N/A</v>
      </c>
      <c r="I311" s="6" t="e" cm="1">
        <f t="array" ref="I311">(Teams[[#This Row],[remaining]]+60)*Teams[[#This Row],[winners alt]]/_xlfn.XLOOKUP(1,(Table1[year]=Teams[[#This Row],[year]])*(Table1[division]=Teams[[#This Row],[division]]),Table1[available])</f>
        <v>#N/A</v>
      </c>
    </row>
    <row r="312" spans="1:9" x14ac:dyDescent="0.3">
      <c r="A312" t="s">
        <v>48</v>
      </c>
      <c r="B312">
        <v>5</v>
      </c>
      <c r="C312">
        <v>2026</v>
      </c>
      <c r="F312" s="1" t="e">
        <f>AVERAGEIFS(Teams[finish],Teams[year],Teams[[#This Row],[year]],Teams[division],Teams[[#This Row],[division]],Teams[college],"&lt;&gt;Div *")</f>
        <v>#DIV/0!</v>
      </c>
      <c r="G312" s="7" t="e" cm="1">
        <f t="array" ref="G312">MOD(Teams[[#This Row],[winners]]-_xlfn.XLOOKUP(1,(Table1[year]=Teams[[#This Row],[year]])*(Table1[division]=Teams[[#This Row],[division]]),Table1[drop]),1)*1440</f>
        <v>#DIV/0!</v>
      </c>
      <c r="H312" s="7" t="e">
        <f>(_xlfn.XLOOKUP(Teams[[#This Row],[year]],Table1[year],Table1[cutoff])-Teams[[#This Row],[finish]])*1440</f>
        <v>#N/A</v>
      </c>
      <c r="I312" s="6" t="e" cm="1">
        <f t="array" ref="I312">(Teams[[#This Row],[remaining]]+60)*Teams[[#This Row],[winners alt]]/_xlfn.XLOOKUP(1,(Table1[year]=Teams[[#This Row],[year]])*(Table1[division]=Teams[[#This Row],[division]]),Table1[available])</f>
        <v>#N/A</v>
      </c>
    </row>
    <row r="313" spans="1:9" x14ac:dyDescent="0.3">
      <c r="A313" t="s">
        <v>48</v>
      </c>
      <c r="B313">
        <v>6</v>
      </c>
      <c r="C313">
        <v>2026</v>
      </c>
      <c r="F313" s="1" t="e">
        <f>AVERAGEIFS(Teams[finish],Teams[year],Teams[[#This Row],[year]],Teams[division],Teams[[#This Row],[division]],Teams[college],"&lt;&gt;Div *")</f>
        <v>#DIV/0!</v>
      </c>
      <c r="G313" s="7" t="e" cm="1">
        <f t="array" ref="G313">MOD(Teams[[#This Row],[winners]]-_xlfn.XLOOKUP(1,(Table1[year]=Teams[[#This Row],[year]])*(Table1[division]=Teams[[#This Row],[division]]),Table1[drop]),1)*1440</f>
        <v>#DIV/0!</v>
      </c>
      <c r="H313" s="7" t="e">
        <f>(_xlfn.XLOOKUP(Teams[[#This Row],[year]],Table1[year],Table1[cutoff])-Teams[[#This Row],[finish]])*1440</f>
        <v>#N/A</v>
      </c>
      <c r="I313" s="6" t="e" cm="1">
        <f t="array" ref="I313">(Teams[[#This Row],[remaining]]+60)*Teams[[#This Row],[winners alt]]/_xlfn.XLOOKUP(1,(Table1[year]=Teams[[#This Row],[year]])*(Table1[division]=Teams[[#This Row],[division]]),Table1[available])</f>
        <v>#N/A</v>
      </c>
    </row>
    <row r="314" spans="1:9" x14ac:dyDescent="0.3">
      <c r="A314" t="s">
        <v>48</v>
      </c>
      <c r="B314">
        <v>7</v>
      </c>
      <c r="C314">
        <v>2026</v>
      </c>
      <c r="F314" s="1" t="e">
        <f>AVERAGEIFS(Teams[finish],Teams[year],Teams[[#This Row],[year]],Teams[division],Teams[[#This Row],[division]],Teams[college],"&lt;&gt;Div *")</f>
        <v>#DIV/0!</v>
      </c>
      <c r="G314" s="7" t="e" cm="1">
        <f t="array" ref="G314">MOD(Teams[[#This Row],[winners]]-_xlfn.XLOOKUP(1,(Table1[year]=Teams[[#This Row],[year]])*(Table1[division]=Teams[[#This Row],[division]]),Table1[drop]),1)*1440</f>
        <v>#DIV/0!</v>
      </c>
      <c r="H314" s="7" t="e">
        <f>(_xlfn.XLOOKUP(Teams[[#This Row],[year]],Table1[year],Table1[cutoff])-Teams[[#This Row],[finish]])*1440</f>
        <v>#N/A</v>
      </c>
      <c r="I314" s="6" t="e" cm="1">
        <f t="array" ref="I314">(Teams[[#This Row],[remaining]]+60)*Teams[[#This Row],[winners alt]]/_xlfn.XLOOKUP(1,(Table1[year]=Teams[[#This Row],[year]])*(Table1[division]=Teams[[#This Row],[division]]),Table1[available])</f>
        <v>#N/A</v>
      </c>
    </row>
    <row r="315" spans="1:9" x14ac:dyDescent="0.3">
      <c r="A315" t="s">
        <v>19</v>
      </c>
      <c r="B315">
        <v>1</v>
      </c>
      <c r="C315">
        <v>2026</v>
      </c>
      <c r="F315" s="1" t="e">
        <f>AVERAGEIFS(Teams[finish],Teams[year],Teams[[#This Row],[year]],Teams[division],Teams[[#This Row],[division]],Teams[college],"&lt;&gt;Div *")</f>
        <v>#DIV/0!</v>
      </c>
      <c r="G315" s="7" t="e" cm="1">
        <f t="array" ref="G315">MOD(Teams[[#This Row],[winners]]-_xlfn.XLOOKUP(1,(Table1[year]=Teams[[#This Row],[year]])*(Table1[division]=Teams[[#This Row],[division]]),Table1[drop]),1)*1440</f>
        <v>#DIV/0!</v>
      </c>
      <c r="H315" s="7" t="e">
        <f>(_xlfn.XLOOKUP(Teams[[#This Row],[year]],Table1[year],Table1[cutoff])-Teams[[#This Row],[finish]])*1440</f>
        <v>#N/A</v>
      </c>
      <c r="I315" s="6" t="e" cm="1">
        <f t="array" ref="I315">(Teams[[#This Row],[remaining]]+60)*Teams[[#This Row],[winners alt]]/_xlfn.XLOOKUP(1,(Table1[year]=Teams[[#This Row],[year]])*(Table1[division]=Teams[[#This Row],[division]]),Table1[available])</f>
        <v>#N/A</v>
      </c>
    </row>
    <row r="316" spans="1:9" x14ac:dyDescent="0.3">
      <c r="A316" t="s">
        <v>19</v>
      </c>
      <c r="B316">
        <v>2</v>
      </c>
      <c r="C316">
        <v>2026</v>
      </c>
      <c r="F316" s="1" t="e">
        <f>AVERAGEIFS(Teams[finish],Teams[year],Teams[[#This Row],[year]],Teams[division],Teams[[#This Row],[division]],Teams[college],"&lt;&gt;Div *")</f>
        <v>#DIV/0!</v>
      </c>
      <c r="G316" s="7" t="e" cm="1">
        <f t="array" ref="G316">MOD(Teams[[#This Row],[winners]]-_xlfn.XLOOKUP(1,(Table1[year]=Teams[[#This Row],[year]])*(Table1[division]=Teams[[#This Row],[division]]),Table1[drop]),1)*1440</f>
        <v>#DIV/0!</v>
      </c>
      <c r="H316" s="7" t="e">
        <f>(_xlfn.XLOOKUP(Teams[[#This Row],[year]],Table1[year],Table1[cutoff])-Teams[[#This Row],[finish]])*1440</f>
        <v>#N/A</v>
      </c>
      <c r="I316" s="6" t="e" cm="1">
        <f t="array" ref="I316">(Teams[[#This Row],[remaining]]+60)*Teams[[#This Row],[winners alt]]/_xlfn.XLOOKUP(1,(Table1[year]=Teams[[#This Row],[year]])*(Table1[division]=Teams[[#This Row],[division]]),Table1[available])</f>
        <v>#N/A</v>
      </c>
    </row>
    <row r="317" spans="1:9" x14ac:dyDescent="0.3">
      <c r="A317" t="s">
        <v>19</v>
      </c>
      <c r="B317">
        <v>3</v>
      </c>
      <c r="C317">
        <v>2026</v>
      </c>
      <c r="F317" s="1" t="e">
        <f>AVERAGEIFS(Teams[finish],Teams[year],Teams[[#This Row],[year]],Teams[division],Teams[[#This Row],[division]],Teams[college],"&lt;&gt;Div *")</f>
        <v>#DIV/0!</v>
      </c>
      <c r="G317" s="7" t="e" cm="1">
        <f t="array" ref="G317">MOD(Teams[[#This Row],[winners]]-_xlfn.XLOOKUP(1,(Table1[year]=Teams[[#This Row],[year]])*(Table1[division]=Teams[[#This Row],[division]]),Table1[drop]),1)*1440</f>
        <v>#DIV/0!</v>
      </c>
      <c r="H317" s="7" t="e">
        <f>(_xlfn.XLOOKUP(Teams[[#This Row],[year]],Table1[year],Table1[cutoff])-Teams[[#This Row],[finish]])*1440</f>
        <v>#N/A</v>
      </c>
      <c r="I317" s="6" t="e" cm="1">
        <f t="array" ref="I317">(Teams[[#This Row],[remaining]]+60)*Teams[[#This Row],[winners alt]]/_xlfn.XLOOKUP(1,(Table1[year]=Teams[[#This Row],[year]])*(Table1[division]=Teams[[#This Row],[division]]),Table1[available])</f>
        <v>#N/A</v>
      </c>
    </row>
    <row r="318" spans="1:9" x14ac:dyDescent="0.3">
      <c r="A318" t="s">
        <v>19</v>
      </c>
      <c r="B318">
        <v>4</v>
      </c>
      <c r="C318">
        <v>2026</v>
      </c>
      <c r="F318" s="1" t="e">
        <f>AVERAGEIFS(Teams[finish],Teams[year],Teams[[#This Row],[year]],Teams[division],Teams[[#This Row],[division]],Teams[college],"&lt;&gt;Div *")</f>
        <v>#DIV/0!</v>
      </c>
      <c r="G318" s="7" t="e" cm="1">
        <f t="array" ref="G318">MOD(Teams[[#This Row],[winners]]-_xlfn.XLOOKUP(1,(Table1[year]=Teams[[#This Row],[year]])*(Table1[division]=Teams[[#This Row],[division]]),Table1[drop]),1)*1440</f>
        <v>#DIV/0!</v>
      </c>
      <c r="H318" s="7" t="e">
        <f>(_xlfn.XLOOKUP(Teams[[#This Row],[year]],Table1[year],Table1[cutoff])-Teams[[#This Row],[finish]])*1440</f>
        <v>#N/A</v>
      </c>
      <c r="I318" s="6" t="e" cm="1">
        <f t="array" ref="I318">(Teams[[#This Row],[remaining]]+60)*Teams[[#This Row],[winners alt]]/_xlfn.XLOOKUP(1,(Table1[year]=Teams[[#This Row],[year]])*(Table1[division]=Teams[[#This Row],[division]]),Table1[available])</f>
        <v>#N/A</v>
      </c>
    </row>
    <row r="319" spans="1:9" x14ac:dyDescent="0.3">
      <c r="A319" t="s">
        <v>19</v>
      </c>
      <c r="B319">
        <v>5</v>
      </c>
      <c r="C319">
        <v>2026</v>
      </c>
      <c r="F319" s="1" t="e">
        <f>AVERAGEIFS(Teams[finish],Teams[year],Teams[[#This Row],[year]],Teams[division],Teams[[#This Row],[division]],Teams[college],"&lt;&gt;Div *")</f>
        <v>#DIV/0!</v>
      </c>
      <c r="G319" s="7" t="e" cm="1">
        <f t="array" ref="G319">MOD(Teams[[#This Row],[winners]]-_xlfn.XLOOKUP(1,(Table1[year]=Teams[[#This Row],[year]])*(Table1[division]=Teams[[#This Row],[division]]),Table1[drop]),1)*1440</f>
        <v>#DIV/0!</v>
      </c>
      <c r="H319" s="7" t="e">
        <f>(_xlfn.XLOOKUP(Teams[[#This Row],[year]],Table1[year],Table1[cutoff])-Teams[[#This Row],[finish]])*1440</f>
        <v>#N/A</v>
      </c>
      <c r="I319" s="6" t="e" cm="1">
        <f t="array" ref="I319">(Teams[[#This Row],[remaining]]+60)*Teams[[#This Row],[winners alt]]/_xlfn.XLOOKUP(1,(Table1[year]=Teams[[#This Row],[year]])*(Table1[division]=Teams[[#This Row],[division]]),Table1[available])</f>
        <v>#N/A</v>
      </c>
    </row>
    <row r="320" spans="1:9" x14ac:dyDescent="0.3">
      <c r="A320" t="s">
        <v>19</v>
      </c>
      <c r="B320">
        <v>6</v>
      </c>
      <c r="C320">
        <v>2026</v>
      </c>
      <c r="F320" s="1" t="e">
        <f>AVERAGEIFS(Teams[finish],Teams[year],Teams[[#This Row],[year]],Teams[division],Teams[[#This Row],[division]],Teams[college],"&lt;&gt;Div *")</f>
        <v>#DIV/0!</v>
      </c>
      <c r="G320" s="7" t="e" cm="1">
        <f t="array" ref="G320">MOD(Teams[[#This Row],[winners]]-_xlfn.XLOOKUP(1,(Table1[year]=Teams[[#This Row],[year]])*(Table1[division]=Teams[[#This Row],[division]]),Table1[drop]),1)*1440</f>
        <v>#DIV/0!</v>
      </c>
      <c r="H320" s="7" t="e">
        <f>(_xlfn.XLOOKUP(Teams[[#This Row],[year]],Table1[year],Table1[cutoff])-Teams[[#This Row],[finish]])*1440</f>
        <v>#N/A</v>
      </c>
      <c r="I320" s="6" t="e" cm="1">
        <f t="array" ref="I320">(Teams[[#This Row],[remaining]]+60)*Teams[[#This Row],[winners alt]]/_xlfn.XLOOKUP(1,(Table1[year]=Teams[[#This Row],[year]])*(Table1[division]=Teams[[#This Row],[division]]),Table1[available])</f>
        <v>#N/A</v>
      </c>
    </row>
    <row r="321" spans="1:9" x14ac:dyDescent="0.3">
      <c r="A321" t="s">
        <v>19</v>
      </c>
      <c r="B321">
        <v>7</v>
      </c>
      <c r="C321">
        <v>2026</v>
      </c>
      <c r="F321" s="1" t="e">
        <f>AVERAGEIFS(Teams[finish],Teams[year],Teams[[#This Row],[year]],Teams[division],Teams[[#This Row],[division]],Teams[college],"&lt;&gt;Div *")</f>
        <v>#DIV/0!</v>
      </c>
      <c r="G321" s="7" t="e" cm="1">
        <f t="array" ref="G321">MOD(Teams[[#This Row],[winners]]-_xlfn.XLOOKUP(1,(Table1[year]=Teams[[#This Row],[year]])*(Table1[division]=Teams[[#This Row],[division]]),Table1[drop]),1)*1440</f>
        <v>#DIV/0!</v>
      </c>
      <c r="H321" s="7" t="e">
        <f>(_xlfn.XLOOKUP(Teams[[#This Row],[year]],Table1[year],Table1[cutoff])-Teams[[#This Row],[finish]])*1440</f>
        <v>#N/A</v>
      </c>
      <c r="I321" s="6" t="e" cm="1">
        <f t="array" ref="I321">(Teams[[#This Row],[remaining]]+60)*Teams[[#This Row],[winners alt]]/_xlfn.XLOOKUP(1,(Table1[year]=Teams[[#This Row],[year]])*(Table1[division]=Teams[[#This Row],[division]]),Table1[available])</f>
        <v>#N/A</v>
      </c>
    </row>
    <row r="322" spans="1:9" x14ac:dyDescent="0.3">
      <c r="A322" t="s">
        <v>10</v>
      </c>
      <c r="B322">
        <v>2</v>
      </c>
      <c r="C322">
        <v>2026</v>
      </c>
      <c r="F322" s="1" t="e">
        <f>AVERAGEIFS(Teams[finish],Teams[year],Teams[[#This Row],[year]],Teams[division],Teams[[#This Row],[division]],Teams[college],"&lt;&gt;Div *")</f>
        <v>#DIV/0!</v>
      </c>
      <c r="G322" s="7" t="e" cm="1">
        <f t="array" ref="G322">MOD(Teams[[#This Row],[winners]]-_xlfn.XLOOKUP(1,(Table1[year]=Teams[[#This Row],[year]])*(Table1[division]=Teams[[#This Row],[division]]),Table1[drop]),1)*1440</f>
        <v>#DIV/0!</v>
      </c>
      <c r="H322" s="7" t="e">
        <f>(_xlfn.XLOOKUP(Teams[[#This Row],[year]],Table1[year],Table1[cutoff])-Teams[[#This Row],[finish]])*1440</f>
        <v>#N/A</v>
      </c>
      <c r="I322" s="6" t="e" cm="1">
        <f t="array" ref="I322">(Teams[[#This Row],[remaining]]+60)*Teams[[#This Row],[winners alt]]/_xlfn.XLOOKUP(1,(Table1[year]=Teams[[#This Row],[year]])*(Table1[division]=Teams[[#This Row],[division]]),Table1[available])</f>
        <v>#N/A</v>
      </c>
    </row>
    <row r="323" spans="1:9" x14ac:dyDescent="0.3">
      <c r="A323" t="s">
        <v>10</v>
      </c>
      <c r="B323">
        <v>3</v>
      </c>
      <c r="C323">
        <v>2026</v>
      </c>
      <c r="F323" s="1" t="e">
        <f>AVERAGEIFS(Teams[finish],Teams[year],Teams[[#This Row],[year]],Teams[division],Teams[[#This Row],[division]],Teams[college],"&lt;&gt;Div *")</f>
        <v>#DIV/0!</v>
      </c>
      <c r="G323" s="7" t="e" cm="1">
        <f t="array" ref="G323">MOD(Teams[[#This Row],[winners]]-_xlfn.XLOOKUP(1,(Table1[year]=Teams[[#This Row],[year]])*(Table1[division]=Teams[[#This Row],[division]]),Table1[drop]),1)*1440</f>
        <v>#DIV/0!</v>
      </c>
      <c r="H323" s="7" t="e">
        <f>(_xlfn.XLOOKUP(Teams[[#This Row],[year]],Table1[year],Table1[cutoff])-Teams[[#This Row],[finish]])*1440</f>
        <v>#N/A</v>
      </c>
      <c r="I323" s="6" t="e" cm="1">
        <f t="array" ref="I323">(Teams[[#This Row],[remaining]]+60)*Teams[[#This Row],[winners alt]]/_xlfn.XLOOKUP(1,(Table1[year]=Teams[[#This Row],[year]])*(Table1[division]=Teams[[#This Row],[division]]),Table1[available])</f>
        <v>#N/A</v>
      </c>
    </row>
    <row r="324" spans="1:9" x14ac:dyDescent="0.3">
      <c r="A324" t="s">
        <v>10</v>
      </c>
      <c r="B324">
        <v>4</v>
      </c>
      <c r="C324">
        <v>2026</v>
      </c>
      <c r="F324" s="1" t="e">
        <f>AVERAGEIFS(Teams[finish],Teams[year],Teams[[#This Row],[year]],Teams[division],Teams[[#This Row],[division]],Teams[college],"&lt;&gt;Div *")</f>
        <v>#DIV/0!</v>
      </c>
      <c r="G324" s="7" t="e" cm="1">
        <f t="array" ref="G324">MOD(Teams[[#This Row],[winners]]-_xlfn.XLOOKUP(1,(Table1[year]=Teams[[#This Row],[year]])*(Table1[division]=Teams[[#This Row],[division]]),Table1[drop]),1)*1440</f>
        <v>#DIV/0!</v>
      </c>
      <c r="H324" s="7" t="e">
        <f>(_xlfn.XLOOKUP(Teams[[#This Row],[year]],Table1[year],Table1[cutoff])-Teams[[#This Row],[finish]])*1440</f>
        <v>#N/A</v>
      </c>
      <c r="I324" s="6" t="e" cm="1">
        <f t="array" ref="I324">(Teams[[#This Row],[remaining]]+60)*Teams[[#This Row],[winners alt]]/_xlfn.XLOOKUP(1,(Table1[year]=Teams[[#This Row],[year]])*(Table1[division]=Teams[[#This Row],[division]]),Table1[available])</f>
        <v>#N/A</v>
      </c>
    </row>
    <row r="325" spans="1:9" x14ac:dyDescent="0.3">
      <c r="A325" t="s">
        <v>10</v>
      </c>
      <c r="B325">
        <v>5</v>
      </c>
      <c r="C325">
        <v>2026</v>
      </c>
      <c r="F325" s="1" t="e">
        <f>AVERAGEIFS(Teams[finish],Teams[year],Teams[[#This Row],[year]],Teams[division],Teams[[#This Row],[division]],Teams[college],"&lt;&gt;Div *")</f>
        <v>#DIV/0!</v>
      </c>
      <c r="G325" s="7" t="e" cm="1">
        <f t="array" ref="G325">MOD(Teams[[#This Row],[winners]]-_xlfn.XLOOKUP(1,(Table1[year]=Teams[[#This Row],[year]])*(Table1[division]=Teams[[#This Row],[division]]),Table1[drop]),1)*1440</f>
        <v>#DIV/0!</v>
      </c>
      <c r="H325" s="7" t="e">
        <f>(_xlfn.XLOOKUP(Teams[[#This Row],[year]],Table1[year],Table1[cutoff])-Teams[[#This Row],[finish]])*1440</f>
        <v>#N/A</v>
      </c>
      <c r="I325" s="6" t="e" cm="1">
        <f t="array" ref="I325">(Teams[[#This Row],[remaining]]+60)*Teams[[#This Row],[winners alt]]/_xlfn.XLOOKUP(1,(Table1[year]=Teams[[#This Row],[year]])*(Table1[division]=Teams[[#This Row],[division]]),Table1[available])</f>
        <v>#N/A</v>
      </c>
    </row>
    <row r="326" spans="1:9" x14ac:dyDescent="0.3">
      <c r="A326" t="s">
        <v>10</v>
      </c>
      <c r="B326">
        <v>6</v>
      </c>
      <c r="C326">
        <v>2026</v>
      </c>
      <c r="F326" s="1" t="e">
        <f>AVERAGEIFS(Teams[finish],Teams[year],Teams[[#This Row],[year]],Teams[division],Teams[[#This Row],[division]],Teams[college],"&lt;&gt;Div *")</f>
        <v>#DIV/0!</v>
      </c>
      <c r="G326" s="7" t="e" cm="1">
        <f t="array" ref="G326">MOD(Teams[[#This Row],[winners]]-_xlfn.XLOOKUP(1,(Table1[year]=Teams[[#This Row],[year]])*(Table1[division]=Teams[[#This Row],[division]]),Table1[drop]),1)*1440</f>
        <v>#DIV/0!</v>
      </c>
      <c r="H326" s="7" t="e">
        <f>(_xlfn.XLOOKUP(Teams[[#This Row],[year]],Table1[year],Table1[cutoff])-Teams[[#This Row],[finish]])*1440</f>
        <v>#N/A</v>
      </c>
      <c r="I326" s="6" t="e" cm="1">
        <f t="array" ref="I326">(Teams[[#This Row],[remaining]]+60)*Teams[[#This Row],[winners alt]]/_xlfn.XLOOKUP(1,(Table1[year]=Teams[[#This Row],[year]])*(Table1[division]=Teams[[#This Row],[division]]),Table1[available])</f>
        <v>#N/A</v>
      </c>
    </row>
    <row r="327" spans="1:9" x14ac:dyDescent="0.3">
      <c r="A327" t="s">
        <v>10</v>
      </c>
      <c r="B327">
        <v>7</v>
      </c>
      <c r="C327">
        <v>2026</v>
      </c>
      <c r="F327" s="1" t="e">
        <f>AVERAGEIFS(Teams[finish],Teams[year],Teams[[#This Row],[year]],Teams[division],Teams[[#This Row],[division]],Teams[college],"&lt;&gt;Div *")</f>
        <v>#DIV/0!</v>
      </c>
      <c r="G327" s="7" t="e" cm="1">
        <f t="array" ref="G327">MOD(Teams[[#This Row],[winners]]-_xlfn.XLOOKUP(1,(Table1[year]=Teams[[#This Row],[year]])*(Table1[division]=Teams[[#This Row],[division]]),Table1[drop]),1)*1440</f>
        <v>#DIV/0!</v>
      </c>
      <c r="H327" s="7" t="e">
        <f>(_xlfn.XLOOKUP(Teams[[#This Row],[year]],Table1[year],Table1[cutoff])-Teams[[#This Row],[finish]])*1440</f>
        <v>#N/A</v>
      </c>
      <c r="I327" s="6" t="e" cm="1">
        <f t="array" ref="I327">(Teams[[#This Row],[remaining]]+60)*Teams[[#This Row],[winners alt]]/_xlfn.XLOOKUP(1,(Table1[year]=Teams[[#This Row],[year]])*(Table1[division]=Teams[[#This Row],[division]]),Table1[available])</f>
        <v>#N/A</v>
      </c>
    </row>
    <row r="328" spans="1:9" x14ac:dyDescent="0.3">
      <c r="A328" t="s">
        <v>266</v>
      </c>
      <c r="B328">
        <v>1</v>
      </c>
      <c r="C328">
        <v>2026</v>
      </c>
      <c r="F328" s="1" t="e">
        <f>AVERAGEIFS(Teams[finish],Teams[year],Teams[[#This Row],[year]],Teams[division],Teams[[#This Row],[division]],Teams[college],"&lt;&gt;Div *")</f>
        <v>#DIV/0!</v>
      </c>
      <c r="G328" s="7" t="e" cm="1">
        <f t="array" ref="G328">MOD(Teams[[#This Row],[winners]]-_xlfn.XLOOKUP(1,(Table1[year]=Teams[[#This Row],[year]])*(Table1[division]=Teams[[#This Row],[division]]),Table1[drop]),1)*1440</f>
        <v>#DIV/0!</v>
      </c>
      <c r="H328" s="7" t="e">
        <f>(_xlfn.XLOOKUP(Teams[[#This Row],[year]],Table1[year],Table1[cutoff])-Teams[[#This Row],[finish]])*1440</f>
        <v>#N/A</v>
      </c>
      <c r="I328" s="6" t="e" cm="1">
        <f t="array" ref="I328">(Teams[[#This Row],[remaining]]+60)*Teams[[#This Row],[winners alt]]/_xlfn.XLOOKUP(1,(Table1[year]=Teams[[#This Row],[year]])*(Table1[division]=Teams[[#This Row],[division]]),Table1[available])</f>
        <v>#N/A</v>
      </c>
    </row>
    <row r="329" spans="1:9" x14ac:dyDescent="0.3">
      <c r="A329" t="s">
        <v>266</v>
      </c>
      <c r="B329">
        <v>2</v>
      </c>
      <c r="C329">
        <v>2026</v>
      </c>
      <c r="F329" s="1" t="e">
        <f>AVERAGEIFS(Teams[finish],Teams[year],Teams[[#This Row],[year]],Teams[division],Teams[[#This Row],[division]],Teams[college],"&lt;&gt;Div *")</f>
        <v>#DIV/0!</v>
      </c>
      <c r="G329" s="7" t="e" cm="1">
        <f t="array" ref="G329">MOD(Teams[[#This Row],[winners]]-_xlfn.XLOOKUP(1,(Table1[year]=Teams[[#This Row],[year]])*(Table1[division]=Teams[[#This Row],[division]]),Table1[drop]),1)*1440</f>
        <v>#DIV/0!</v>
      </c>
      <c r="H329" s="7" t="e">
        <f>(_xlfn.XLOOKUP(Teams[[#This Row],[year]],Table1[year],Table1[cutoff])-Teams[[#This Row],[finish]])*1440</f>
        <v>#N/A</v>
      </c>
      <c r="I329" s="6" t="e" cm="1">
        <f t="array" ref="I329">(Teams[[#This Row],[remaining]]+60)*Teams[[#This Row],[winners alt]]/_xlfn.XLOOKUP(1,(Table1[year]=Teams[[#This Row],[year]])*(Table1[division]=Teams[[#This Row],[division]]),Table1[available])</f>
        <v>#N/A</v>
      </c>
    </row>
    <row r="330" spans="1:9" x14ac:dyDescent="0.3">
      <c r="A330" t="s">
        <v>266</v>
      </c>
      <c r="B330">
        <v>3</v>
      </c>
      <c r="C330">
        <v>2026</v>
      </c>
      <c r="F330" s="1" t="e">
        <f>AVERAGEIFS(Teams[finish],Teams[year],Teams[[#This Row],[year]],Teams[division],Teams[[#This Row],[division]],Teams[college],"&lt;&gt;Div *")</f>
        <v>#DIV/0!</v>
      </c>
      <c r="G330" s="7" t="e" cm="1">
        <f t="array" ref="G330">MOD(Teams[[#This Row],[winners]]-_xlfn.XLOOKUP(1,(Table1[year]=Teams[[#This Row],[year]])*(Table1[division]=Teams[[#This Row],[division]]),Table1[drop]),1)*1440</f>
        <v>#DIV/0!</v>
      </c>
      <c r="H330" s="7" t="e">
        <f>(_xlfn.XLOOKUP(Teams[[#This Row],[year]],Table1[year],Table1[cutoff])-Teams[[#This Row],[finish]])*1440</f>
        <v>#N/A</v>
      </c>
      <c r="I330" s="6" t="e" cm="1">
        <f t="array" ref="I330">(Teams[[#This Row],[remaining]]+60)*Teams[[#This Row],[winners alt]]/_xlfn.XLOOKUP(1,(Table1[year]=Teams[[#This Row],[year]])*(Table1[division]=Teams[[#This Row],[division]]),Table1[available])</f>
        <v>#N/A</v>
      </c>
    </row>
    <row r="331" spans="1:9" x14ac:dyDescent="0.3">
      <c r="A331" t="s">
        <v>266</v>
      </c>
      <c r="B331">
        <v>4</v>
      </c>
      <c r="C331">
        <v>2026</v>
      </c>
      <c r="F331" s="1" t="e">
        <f>AVERAGEIFS(Teams[finish],Teams[year],Teams[[#This Row],[year]],Teams[division],Teams[[#This Row],[division]],Teams[college],"&lt;&gt;Div *")</f>
        <v>#DIV/0!</v>
      </c>
      <c r="G331" s="7" t="e" cm="1">
        <f t="array" ref="G331">MOD(Teams[[#This Row],[winners]]-_xlfn.XLOOKUP(1,(Table1[year]=Teams[[#This Row],[year]])*(Table1[division]=Teams[[#This Row],[division]]),Table1[drop]),1)*1440</f>
        <v>#DIV/0!</v>
      </c>
      <c r="H331" s="7" t="e">
        <f>(_xlfn.XLOOKUP(Teams[[#This Row],[year]],Table1[year],Table1[cutoff])-Teams[[#This Row],[finish]])*1440</f>
        <v>#N/A</v>
      </c>
      <c r="I331" s="6" t="e" cm="1">
        <f t="array" ref="I331">(Teams[[#This Row],[remaining]]+60)*Teams[[#This Row],[winners alt]]/_xlfn.XLOOKUP(1,(Table1[year]=Teams[[#This Row],[year]])*(Table1[division]=Teams[[#This Row],[division]]),Table1[available])</f>
        <v>#N/A</v>
      </c>
    </row>
    <row r="332" spans="1:9" x14ac:dyDescent="0.3">
      <c r="A332" t="s">
        <v>266</v>
      </c>
      <c r="B332">
        <v>5</v>
      </c>
      <c r="C332">
        <v>2026</v>
      </c>
      <c r="F332" s="1" t="e">
        <f>AVERAGEIFS(Teams[finish],Teams[year],Teams[[#This Row],[year]],Teams[division],Teams[[#This Row],[division]],Teams[college],"&lt;&gt;Div *")</f>
        <v>#DIV/0!</v>
      </c>
      <c r="G332" s="7" t="e" cm="1">
        <f t="array" ref="G332">MOD(Teams[[#This Row],[winners]]-_xlfn.XLOOKUP(1,(Table1[year]=Teams[[#This Row],[year]])*(Table1[division]=Teams[[#This Row],[division]]),Table1[drop]),1)*1440</f>
        <v>#DIV/0!</v>
      </c>
      <c r="H332" s="7" t="e">
        <f>(_xlfn.XLOOKUP(Teams[[#This Row],[year]],Table1[year],Table1[cutoff])-Teams[[#This Row],[finish]])*1440</f>
        <v>#N/A</v>
      </c>
      <c r="I332" s="6" t="e" cm="1">
        <f t="array" ref="I332">(Teams[[#This Row],[remaining]]+60)*Teams[[#This Row],[winners alt]]/_xlfn.XLOOKUP(1,(Table1[year]=Teams[[#This Row],[year]])*(Table1[division]=Teams[[#This Row],[division]]),Table1[available])</f>
        <v>#N/A</v>
      </c>
    </row>
    <row r="333" spans="1:9" x14ac:dyDescent="0.3">
      <c r="A333" t="s">
        <v>266</v>
      </c>
      <c r="B333">
        <v>6</v>
      </c>
      <c r="C333">
        <v>2026</v>
      </c>
      <c r="F333" s="1" t="e">
        <f>AVERAGEIFS(Teams[finish],Teams[year],Teams[[#This Row],[year]],Teams[division],Teams[[#This Row],[division]],Teams[college],"&lt;&gt;Div *")</f>
        <v>#DIV/0!</v>
      </c>
      <c r="G333" s="7" t="e" cm="1">
        <f t="array" ref="G333">MOD(Teams[[#This Row],[winners]]-_xlfn.XLOOKUP(1,(Table1[year]=Teams[[#This Row],[year]])*(Table1[division]=Teams[[#This Row],[division]]),Table1[drop]),1)*1440</f>
        <v>#DIV/0!</v>
      </c>
      <c r="H333" s="7" t="e">
        <f>(_xlfn.XLOOKUP(Teams[[#This Row],[year]],Table1[year],Table1[cutoff])-Teams[[#This Row],[finish]])*1440</f>
        <v>#N/A</v>
      </c>
      <c r="I333" s="6" t="e" cm="1">
        <f t="array" ref="I333">(Teams[[#This Row],[remaining]]+60)*Teams[[#This Row],[winners alt]]/_xlfn.XLOOKUP(1,(Table1[year]=Teams[[#This Row],[year]])*(Table1[division]=Teams[[#This Row],[division]]),Table1[available])</f>
        <v>#N/A</v>
      </c>
    </row>
    <row r="334" spans="1:9" x14ac:dyDescent="0.3">
      <c r="A334" t="s">
        <v>266</v>
      </c>
      <c r="B334">
        <v>7</v>
      </c>
      <c r="C334">
        <v>2026</v>
      </c>
      <c r="F334" s="1" t="e">
        <f>AVERAGEIFS(Teams[finish],Teams[year],Teams[[#This Row],[year]],Teams[division],Teams[[#This Row],[division]],Teams[college],"&lt;&gt;Div *")</f>
        <v>#DIV/0!</v>
      </c>
      <c r="G334" s="7" t="e" cm="1">
        <f t="array" ref="G334">MOD(Teams[[#This Row],[winners]]-_xlfn.XLOOKUP(1,(Table1[year]=Teams[[#This Row],[year]])*(Table1[division]=Teams[[#This Row],[division]]),Table1[drop]),1)*1440</f>
        <v>#DIV/0!</v>
      </c>
      <c r="H334" s="7" t="e">
        <f>(_xlfn.XLOOKUP(Teams[[#This Row],[year]],Table1[year],Table1[cutoff])-Teams[[#This Row],[finish]])*1440</f>
        <v>#N/A</v>
      </c>
      <c r="I334" s="6" t="e" cm="1">
        <f t="array" ref="I334">(Teams[[#This Row],[remaining]]+60)*Teams[[#This Row],[winners alt]]/_xlfn.XLOOKUP(1,(Table1[year]=Teams[[#This Row],[year]])*(Table1[division]=Teams[[#This Row],[division]]),Table1[available])</f>
        <v>#N/A</v>
      </c>
    </row>
    <row r="335" spans="1:9" x14ac:dyDescent="0.3">
      <c r="A335" t="s">
        <v>250</v>
      </c>
      <c r="B335">
        <v>1</v>
      </c>
      <c r="C335">
        <v>2026</v>
      </c>
      <c r="F335" s="1" t="e">
        <f>AVERAGEIFS(Teams[finish],Teams[year],Teams[[#This Row],[year]],Teams[division],Teams[[#This Row],[division]],Teams[college],"&lt;&gt;Div *")</f>
        <v>#DIV/0!</v>
      </c>
      <c r="G335" s="7" t="e" cm="1">
        <f t="array" ref="G335">MOD(Teams[[#This Row],[winners]]-_xlfn.XLOOKUP(1,(Table1[year]=Teams[[#This Row],[year]])*(Table1[division]=Teams[[#This Row],[division]]),Table1[drop]),1)*1440</f>
        <v>#DIV/0!</v>
      </c>
      <c r="H335" s="7" t="e">
        <f>(_xlfn.XLOOKUP(Teams[[#This Row],[year]],Table1[year],Table1[cutoff])-Teams[[#This Row],[finish]])*1440</f>
        <v>#N/A</v>
      </c>
      <c r="I335" s="6" t="e" cm="1">
        <f t="array" ref="I335">(Teams[[#This Row],[remaining]]+60)*Teams[[#This Row],[winners alt]]/_xlfn.XLOOKUP(1,(Table1[year]=Teams[[#This Row],[year]])*(Table1[division]=Teams[[#This Row],[division]]),Table1[available])</f>
        <v>#N/A</v>
      </c>
    </row>
    <row r="336" spans="1:9" x14ac:dyDescent="0.3">
      <c r="A336" t="s">
        <v>250</v>
      </c>
      <c r="B336">
        <v>2</v>
      </c>
      <c r="C336">
        <v>2026</v>
      </c>
      <c r="F336" s="1" t="e">
        <f>AVERAGEIFS(Teams[finish],Teams[year],Teams[[#This Row],[year]],Teams[division],Teams[[#This Row],[division]],Teams[college],"&lt;&gt;Div *")</f>
        <v>#DIV/0!</v>
      </c>
      <c r="G336" s="7" t="e" cm="1">
        <f t="array" ref="G336">MOD(Teams[[#This Row],[winners]]-_xlfn.XLOOKUP(1,(Table1[year]=Teams[[#This Row],[year]])*(Table1[division]=Teams[[#This Row],[division]]),Table1[drop]),1)*1440</f>
        <v>#DIV/0!</v>
      </c>
      <c r="H336" s="7" t="e">
        <f>(_xlfn.XLOOKUP(Teams[[#This Row],[year]],Table1[year],Table1[cutoff])-Teams[[#This Row],[finish]])*1440</f>
        <v>#N/A</v>
      </c>
      <c r="I336" s="6" t="e" cm="1">
        <f t="array" ref="I336">(Teams[[#This Row],[remaining]]+60)*Teams[[#This Row],[winners alt]]/_xlfn.XLOOKUP(1,(Table1[year]=Teams[[#This Row],[year]])*(Table1[division]=Teams[[#This Row],[division]]),Table1[available])</f>
        <v>#N/A</v>
      </c>
    </row>
    <row r="337" spans="1:9" x14ac:dyDescent="0.3">
      <c r="A337" t="s">
        <v>250</v>
      </c>
      <c r="B337">
        <v>3</v>
      </c>
      <c r="C337">
        <v>2026</v>
      </c>
      <c r="F337" s="1" t="e">
        <f>AVERAGEIFS(Teams[finish],Teams[year],Teams[[#This Row],[year]],Teams[division],Teams[[#This Row],[division]],Teams[college],"&lt;&gt;Div *")</f>
        <v>#DIV/0!</v>
      </c>
      <c r="G337" s="7" t="e" cm="1">
        <f t="array" ref="G337">MOD(Teams[[#This Row],[winners]]-_xlfn.XLOOKUP(1,(Table1[year]=Teams[[#This Row],[year]])*(Table1[division]=Teams[[#This Row],[division]]),Table1[drop]),1)*1440</f>
        <v>#DIV/0!</v>
      </c>
      <c r="H337" s="7" t="e">
        <f>(_xlfn.XLOOKUP(Teams[[#This Row],[year]],Table1[year],Table1[cutoff])-Teams[[#This Row],[finish]])*1440</f>
        <v>#N/A</v>
      </c>
      <c r="I337" s="6" t="e" cm="1">
        <f t="array" ref="I337">(Teams[[#This Row],[remaining]]+60)*Teams[[#This Row],[winners alt]]/_xlfn.XLOOKUP(1,(Table1[year]=Teams[[#This Row],[year]])*(Table1[division]=Teams[[#This Row],[division]]),Table1[available])</f>
        <v>#N/A</v>
      </c>
    </row>
    <row r="338" spans="1:9" x14ac:dyDescent="0.3">
      <c r="A338" t="s">
        <v>250</v>
      </c>
      <c r="B338">
        <v>4</v>
      </c>
      <c r="C338">
        <v>2026</v>
      </c>
      <c r="F338" s="1" t="e">
        <f>AVERAGEIFS(Teams[finish],Teams[year],Teams[[#This Row],[year]],Teams[division],Teams[[#This Row],[division]],Teams[college],"&lt;&gt;Div *")</f>
        <v>#DIV/0!</v>
      </c>
      <c r="G338" s="7" t="e" cm="1">
        <f t="array" ref="G338">MOD(Teams[[#This Row],[winners]]-_xlfn.XLOOKUP(1,(Table1[year]=Teams[[#This Row],[year]])*(Table1[division]=Teams[[#This Row],[division]]),Table1[drop]),1)*1440</f>
        <v>#DIV/0!</v>
      </c>
      <c r="H338" s="7" t="e">
        <f>(_xlfn.XLOOKUP(Teams[[#This Row],[year]],Table1[year],Table1[cutoff])-Teams[[#This Row],[finish]])*1440</f>
        <v>#N/A</v>
      </c>
      <c r="I338" s="6" t="e" cm="1">
        <f t="array" ref="I338">(Teams[[#This Row],[remaining]]+60)*Teams[[#This Row],[winners alt]]/_xlfn.XLOOKUP(1,(Table1[year]=Teams[[#This Row],[year]])*(Table1[division]=Teams[[#This Row],[division]]),Table1[available])</f>
        <v>#N/A</v>
      </c>
    </row>
    <row r="339" spans="1:9" x14ac:dyDescent="0.3">
      <c r="A339" t="s">
        <v>250</v>
      </c>
      <c r="B339">
        <v>5</v>
      </c>
      <c r="C339">
        <v>2026</v>
      </c>
      <c r="F339" s="1" t="e">
        <f>AVERAGEIFS(Teams[finish],Teams[year],Teams[[#This Row],[year]],Teams[division],Teams[[#This Row],[division]],Teams[college],"&lt;&gt;Div *")</f>
        <v>#DIV/0!</v>
      </c>
      <c r="G339" s="7" t="e" cm="1">
        <f t="array" ref="G339">MOD(Teams[[#This Row],[winners]]-_xlfn.XLOOKUP(1,(Table1[year]=Teams[[#This Row],[year]])*(Table1[division]=Teams[[#This Row],[division]]),Table1[drop]),1)*1440</f>
        <v>#DIV/0!</v>
      </c>
      <c r="H339" s="7" t="e">
        <f>(_xlfn.XLOOKUP(Teams[[#This Row],[year]],Table1[year],Table1[cutoff])-Teams[[#This Row],[finish]])*1440</f>
        <v>#N/A</v>
      </c>
      <c r="I339" s="6" t="e" cm="1">
        <f t="array" ref="I339">(Teams[[#This Row],[remaining]]+60)*Teams[[#This Row],[winners alt]]/_xlfn.XLOOKUP(1,(Table1[year]=Teams[[#This Row],[year]])*(Table1[division]=Teams[[#This Row],[division]]),Table1[available])</f>
        <v>#N/A</v>
      </c>
    </row>
    <row r="340" spans="1:9" x14ac:dyDescent="0.3">
      <c r="A340" t="s">
        <v>250</v>
      </c>
      <c r="B340">
        <v>6</v>
      </c>
      <c r="C340">
        <v>2026</v>
      </c>
      <c r="F340" s="1" t="e">
        <f>AVERAGEIFS(Teams[finish],Teams[year],Teams[[#This Row],[year]],Teams[division],Teams[[#This Row],[division]],Teams[college],"&lt;&gt;Div *")</f>
        <v>#DIV/0!</v>
      </c>
      <c r="G340" s="7" t="e" cm="1">
        <f t="array" ref="G340">MOD(Teams[[#This Row],[winners]]-_xlfn.XLOOKUP(1,(Table1[year]=Teams[[#This Row],[year]])*(Table1[division]=Teams[[#This Row],[division]]),Table1[drop]),1)*1440</f>
        <v>#DIV/0!</v>
      </c>
      <c r="H340" s="7" t="e">
        <f>(_xlfn.XLOOKUP(Teams[[#This Row],[year]],Table1[year],Table1[cutoff])-Teams[[#This Row],[finish]])*1440</f>
        <v>#N/A</v>
      </c>
      <c r="I340" s="6" t="e" cm="1">
        <f t="array" ref="I340">(Teams[[#This Row],[remaining]]+60)*Teams[[#This Row],[winners alt]]/_xlfn.XLOOKUP(1,(Table1[year]=Teams[[#This Row],[year]])*(Table1[division]=Teams[[#This Row],[division]]),Table1[available])</f>
        <v>#N/A</v>
      </c>
    </row>
    <row r="341" spans="1:9" x14ac:dyDescent="0.3">
      <c r="A341" t="s">
        <v>250</v>
      </c>
      <c r="B341">
        <v>7</v>
      </c>
      <c r="C341">
        <v>2026</v>
      </c>
      <c r="F341" s="1" t="e">
        <f>AVERAGEIFS(Teams[finish],Teams[year],Teams[[#This Row],[year]],Teams[division],Teams[[#This Row],[division]],Teams[college],"&lt;&gt;Div *")</f>
        <v>#DIV/0!</v>
      </c>
      <c r="G341" s="7" t="e" cm="1">
        <f t="array" ref="G341">MOD(Teams[[#This Row],[winners]]-_xlfn.XLOOKUP(1,(Table1[year]=Teams[[#This Row],[year]])*(Table1[division]=Teams[[#This Row],[division]]),Table1[drop]),1)*1440</f>
        <v>#DIV/0!</v>
      </c>
      <c r="H341" s="7" t="e">
        <f>(_xlfn.XLOOKUP(Teams[[#This Row],[year]],Table1[year],Table1[cutoff])-Teams[[#This Row],[finish]])*1440</f>
        <v>#N/A</v>
      </c>
      <c r="I341" s="6" t="e" cm="1">
        <f t="array" ref="I341">(Teams[[#This Row],[remaining]]+60)*Teams[[#This Row],[winners alt]]/_xlfn.XLOOKUP(1,(Table1[year]=Teams[[#This Row],[year]])*(Table1[division]=Teams[[#This Row],[division]]),Table1[available])</f>
        <v>#N/A</v>
      </c>
    </row>
    <row r="342" spans="1:9" x14ac:dyDescent="0.3">
      <c r="A342" t="s">
        <v>766</v>
      </c>
      <c r="B342">
        <v>5</v>
      </c>
      <c r="C342">
        <v>2026</v>
      </c>
      <c r="F342" s="1" t="e">
        <f>AVERAGEIFS(Teams[finish],Teams[year],Teams[[#This Row],[year]],Teams[division],Teams[[#This Row],[division]],Teams[college],"&lt;&gt;Div *")</f>
        <v>#DIV/0!</v>
      </c>
      <c r="G342" s="7" t="e" cm="1">
        <f t="array" ref="G342">MOD(Teams[[#This Row],[winners]]-_xlfn.XLOOKUP(1,(Table1[year]=Teams[[#This Row],[year]])*(Table1[division]=Teams[[#This Row],[division]]),Table1[drop]),1)*1440</f>
        <v>#DIV/0!</v>
      </c>
      <c r="H342" s="7" t="e">
        <f>(_xlfn.XLOOKUP(Teams[[#This Row],[year]],Table1[year],Table1[cutoff])-Teams[[#This Row],[finish]])*1440</f>
        <v>#N/A</v>
      </c>
      <c r="I342" s="6" t="e" cm="1">
        <f t="array" ref="I342">(Teams[[#This Row],[remaining]]+60)*Teams[[#This Row],[winners alt]]/_xlfn.XLOOKUP(1,(Table1[year]=Teams[[#This Row],[year]])*(Table1[division]=Teams[[#This Row],[division]]),Table1[available])</f>
        <v>#N/A</v>
      </c>
    </row>
    <row r="343" spans="1:9" x14ac:dyDescent="0.3">
      <c r="A343" t="s">
        <v>766</v>
      </c>
      <c r="B343">
        <v>6</v>
      </c>
      <c r="C343">
        <v>2026</v>
      </c>
      <c r="F343" s="1" t="e">
        <f>AVERAGEIFS(Teams[finish],Teams[year],Teams[[#This Row],[year]],Teams[division],Teams[[#This Row],[division]],Teams[college],"&lt;&gt;Div *")</f>
        <v>#DIV/0!</v>
      </c>
      <c r="G343" s="7" t="e" cm="1">
        <f t="array" ref="G343">MOD(Teams[[#This Row],[winners]]-_xlfn.XLOOKUP(1,(Table1[year]=Teams[[#This Row],[year]])*(Table1[division]=Teams[[#This Row],[division]]),Table1[drop]),1)*1440</f>
        <v>#DIV/0!</v>
      </c>
      <c r="H343" s="7" t="e">
        <f>(_xlfn.XLOOKUP(Teams[[#This Row],[year]],Table1[year],Table1[cutoff])-Teams[[#This Row],[finish]])*1440</f>
        <v>#N/A</v>
      </c>
      <c r="I343" s="6" t="e" cm="1">
        <f t="array" ref="I343">(Teams[[#This Row],[remaining]]+60)*Teams[[#This Row],[winners alt]]/_xlfn.XLOOKUP(1,(Table1[year]=Teams[[#This Row],[year]])*(Table1[division]=Teams[[#This Row],[division]]),Table1[available])</f>
        <v>#N/A</v>
      </c>
    </row>
    <row r="344" spans="1:9" x14ac:dyDescent="0.3">
      <c r="A344" t="s">
        <v>766</v>
      </c>
      <c r="B344">
        <v>7</v>
      </c>
      <c r="C344">
        <v>2026</v>
      </c>
      <c r="F344" s="1" t="e">
        <f>AVERAGEIFS(Teams[finish],Teams[year],Teams[[#This Row],[year]],Teams[division],Teams[[#This Row],[division]],Teams[college],"&lt;&gt;Div *")</f>
        <v>#DIV/0!</v>
      </c>
      <c r="G344" s="7" t="e" cm="1">
        <f t="array" ref="G344">MOD(Teams[[#This Row],[winners]]-_xlfn.XLOOKUP(1,(Table1[year]=Teams[[#This Row],[year]])*(Table1[division]=Teams[[#This Row],[division]]),Table1[drop]),1)*1440</f>
        <v>#DIV/0!</v>
      </c>
      <c r="H344" s="7" t="e">
        <f>(_xlfn.XLOOKUP(Teams[[#This Row],[year]],Table1[year],Table1[cutoff])-Teams[[#This Row],[finish]])*1440</f>
        <v>#N/A</v>
      </c>
      <c r="I344" s="6" t="e" cm="1">
        <f t="array" ref="I344">(Teams[[#This Row],[remaining]]+60)*Teams[[#This Row],[winners alt]]/_xlfn.XLOOKUP(1,(Table1[year]=Teams[[#This Row],[year]])*(Table1[division]=Teams[[#This Row],[division]]),Table1[available])</f>
        <v>#N/A</v>
      </c>
    </row>
    <row r="345" spans="1:9" x14ac:dyDescent="0.3">
      <c r="A345" t="s">
        <v>241</v>
      </c>
      <c r="B345">
        <v>1</v>
      </c>
      <c r="C345">
        <v>2026</v>
      </c>
      <c r="F345" s="1" t="e">
        <f>AVERAGEIFS(Teams[finish],Teams[year],Teams[[#This Row],[year]],Teams[division],Teams[[#This Row],[division]],Teams[college],"&lt;&gt;Div *")</f>
        <v>#DIV/0!</v>
      </c>
      <c r="G345" s="7" t="e" cm="1">
        <f t="array" ref="G345">MOD(Teams[[#This Row],[winners]]-_xlfn.XLOOKUP(1,(Table1[year]=Teams[[#This Row],[year]])*(Table1[division]=Teams[[#This Row],[division]]),Table1[drop]),1)*1440</f>
        <v>#DIV/0!</v>
      </c>
      <c r="H345" s="7" t="e">
        <f>(_xlfn.XLOOKUP(Teams[[#This Row],[year]],Table1[year],Table1[cutoff])-Teams[[#This Row],[finish]])*1440</f>
        <v>#N/A</v>
      </c>
      <c r="I345" s="6" t="e" cm="1">
        <f t="array" ref="I345">(Teams[[#This Row],[remaining]]+60)*Teams[[#This Row],[winners alt]]/_xlfn.XLOOKUP(1,(Table1[year]=Teams[[#This Row],[year]])*(Table1[division]=Teams[[#This Row],[division]]),Table1[available])</f>
        <v>#N/A</v>
      </c>
    </row>
    <row r="346" spans="1:9" x14ac:dyDescent="0.3">
      <c r="A346" t="s">
        <v>241</v>
      </c>
      <c r="B346">
        <v>2</v>
      </c>
      <c r="C346">
        <v>2026</v>
      </c>
      <c r="F346" s="1" t="e">
        <f>AVERAGEIFS(Teams[finish],Teams[year],Teams[[#This Row],[year]],Teams[division],Teams[[#This Row],[division]],Teams[college],"&lt;&gt;Div *")</f>
        <v>#DIV/0!</v>
      </c>
      <c r="G346" s="7" t="e" cm="1">
        <f t="array" ref="G346">MOD(Teams[[#This Row],[winners]]-_xlfn.XLOOKUP(1,(Table1[year]=Teams[[#This Row],[year]])*(Table1[division]=Teams[[#This Row],[division]]),Table1[drop]),1)*1440</f>
        <v>#DIV/0!</v>
      </c>
      <c r="H346" s="7" t="e">
        <f>(_xlfn.XLOOKUP(Teams[[#This Row],[year]],Table1[year],Table1[cutoff])-Teams[[#This Row],[finish]])*1440</f>
        <v>#N/A</v>
      </c>
      <c r="I346" s="6" t="e" cm="1">
        <f t="array" ref="I346">(Teams[[#This Row],[remaining]]+60)*Teams[[#This Row],[winners alt]]/_xlfn.XLOOKUP(1,(Table1[year]=Teams[[#This Row],[year]])*(Table1[division]=Teams[[#This Row],[division]]),Table1[available])</f>
        <v>#N/A</v>
      </c>
    </row>
    <row r="347" spans="1:9" x14ac:dyDescent="0.3">
      <c r="A347" t="s">
        <v>241</v>
      </c>
      <c r="B347">
        <v>3</v>
      </c>
      <c r="C347">
        <v>2026</v>
      </c>
      <c r="F347" s="1" t="e">
        <f>AVERAGEIFS(Teams[finish],Teams[year],Teams[[#This Row],[year]],Teams[division],Teams[[#This Row],[division]],Teams[college],"&lt;&gt;Div *")</f>
        <v>#DIV/0!</v>
      </c>
      <c r="G347" s="7" t="e" cm="1">
        <f t="array" ref="G347">MOD(Teams[[#This Row],[winners]]-_xlfn.XLOOKUP(1,(Table1[year]=Teams[[#This Row],[year]])*(Table1[division]=Teams[[#This Row],[division]]),Table1[drop]),1)*1440</f>
        <v>#DIV/0!</v>
      </c>
      <c r="H347" s="7" t="e">
        <f>(_xlfn.XLOOKUP(Teams[[#This Row],[year]],Table1[year],Table1[cutoff])-Teams[[#This Row],[finish]])*1440</f>
        <v>#N/A</v>
      </c>
      <c r="I347" s="6" t="e" cm="1">
        <f t="array" ref="I347">(Teams[[#This Row],[remaining]]+60)*Teams[[#This Row],[winners alt]]/_xlfn.XLOOKUP(1,(Table1[year]=Teams[[#This Row],[year]])*(Table1[division]=Teams[[#This Row],[division]]),Table1[available])</f>
        <v>#N/A</v>
      </c>
    </row>
    <row r="348" spans="1:9" x14ac:dyDescent="0.3">
      <c r="A348" t="s">
        <v>241</v>
      </c>
      <c r="B348">
        <v>4</v>
      </c>
      <c r="C348">
        <v>2026</v>
      </c>
      <c r="F348" s="1" t="e">
        <f>AVERAGEIFS(Teams[finish],Teams[year],Teams[[#This Row],[year]],Teams[division],Teams[[#This Row],[division]],Teams[college],"&lt;&gt;Div *")</f>
        <v>#DIV/0!</v>
      </c>
      <c r="G348" s="7" t="e" cm="1">
        <f t="array" ref="G348">MOD(Teams[[#This Row],[winners]]-_xlfn.XLOOKUP(1,(Table1[year]=Teams[[#This Row],[year]])*(Table1[division]=Teams[[#This Row],[division]]),Table1[drop]),1)*1440</f>
        <v>#DIV/0!</v>
      </c>
      <c r="H348" s="7" t="e">
        <f>(_xlfn.XLOOKUP(Teams[[#This Row],[year]],Table1[year],Table1[cutoff])-Teams[[#This Row],[finish]])*1440</f>
        <v>#N/A</v>
      </c>
      <c r="I348" s="6" t="e" cm="1">
        <f t="array" ref="I348">(Teams[[#This Row],[remaining]]+60)*Teams[[#This Row],[winners alt]]/_xlfn.XLOOKUP(1,(Table1[year]=Teams[[#This Row],[year]])*(Table1[division]=Teams[[#This Row],[division]]),Table1[available])</f>
        <v>#N/A</v>
      </c>
    </row>
    <row r="349" spans="1:9" x14ac:dyDescent="0.3">
      <c r="A349" t="s">
        <v>241</v>
      </c>
      <c r="B349">
        <v>5</v>
      </c>
      <c r="C349">
        <v>2026</v>
      </c>
      <c r="F349" s="1" t="e">
        <f>AVERAGEIFS(Teams[finish],Teams[year],Teams[[#This Row],[year]],Teams[division],Teams[[#This Row],[division]],Teams[college],"&lt;&gt;Div *")</f>
        <v>#DIV/0!</v>
      </c>
      <c r="G349" s="7" t="e" cm="1">
        <f t="array" ref="G349">MOD(Teams[[#This Row],[winners]]-_xlfn.XLOOKUP(1,(Table1[year]=Teams[[#This Row],[year]])*(Table1[division]=Teams[[#This Row],[division]]),Table1[drop]),1)*1440</f>
        <v>#DIV/0!</v>
      </c>
      <c r="H349" s="7" t="e">
        <f>(_xlfn.XLOOKUP(Teams[[#This Row],[year]],Table1[year],Table1[cutoff])-Teams[[#This Row],[finish]])*1440</f>
        <v>#N/A</v>
      </c>
      <c r="I349" s="6" t="e" cm="1">
        <f t="array" ref="I349">(Teams[[#This Row],[remaining]]+60)*Teams[[#This Row],[winners alt]]/_xlfn.XLOOKUP(1,(Table1[year]=Teams[[#This Row],[year]])*(Table1[division]=Teams[[#This Row],[division]]),Table1[available])</f>
        <v>#N/A</v>
      </c>
    </row>
    <row r="350" spans="1:9" x14ac:dyDescent="0.3">
      <c r="A350" t="s">
        <v>241</v>
      </c>
      <c r="B350">
        <v>6</v>
      </c>
      <c r="C350">
        <v>2026</v>
      </c>
      <c r="F350" s="1" t="e">
        <f>AVERAGEIFS(Teams[finish],Teams[year],Teams[[#This Row],[year]],Teams[division],Teams[[#This Row],[division]],Teams[college],"&lt;&gt;Div *")</f>
        <v>#DIV/0!</v>
      </c>
      <c r="G350" s="7" t="e" cm="1">
        <f t="array" ref="G350">MOD(Teams[[#This Row],[winners]]-_xlfn.XLOOKUP(1,(Table1[year]=Teams[[#This Row],[year]])*(Table1[division]=Teams[[#This Row],[division]]),Table1[drop]),1)*1440</f>
        <v>#DIV/0!</v>
      </c>
      <c r="H350" s="7" t="e">
        <f>(_xlfn.XLOOKUP(Teams[[#This Row],[year]],Table1[year],Table1[cutoff])-Teams[[#This Row],[finish]])*1440</f>
        <v>#N/A</v>
      </c>
      <c r="I350" s="6" t="e" cm="1">
        <f t="array" ref="I350">(Teams[[#This Row],[remaining]]+60)*Teams[[#This Row],[winners alt]]/_xlfn.XLOOKUP(1,(Table1[year]=Teams[[#This Row],[year]])*(Table1[division]=Teams[[#This Row],[division]]),Table1[available])</f>
        <v>#N/A</v>
      </c>
    </row>
    <row r="351" spans="1:9" x14ac:dyDescent="0.3">
      <c r="A351" t="s">
        <v>241</v>
      </c>
      <c r="B351">
        <v>7</v>
      </c>
      <c r="C351">
        <v>2026</v>
      </c>
      <c r="F351" s="1" t="e">
        <f>AVERAGEIFS(Teams[finish],Teams[year],Teams[[#This Row],[year]],Teams[division],Teams[[#This Row],[division]],Teams[college],"&lt;&gt;Div *")</f>
        <v>#DIV/0!</v>
      </c>
      <c r="G351" s="7" t="e" cm="1">
        <f t="array" ref="G351">MOD(Teams[[#This Row],[winners]]-_xlfn.XLOOKUP(1,(Table1[year]=Teams[[#This Row],[year]])*(Table1[division]=Teams[[#This Row],[division]]),Table1[drop]),1)*1440</f>
        <v>#DIV/0!</v>
      </c>
      <c r="H351" s="7" t="e">
        <f>(_xlfn.XLOOKUP(Teams[[#This Row],[year]],Table1[year],Table1[cutoff])-Teams[[#This Row],[finish]])*1440</f>
        <v>#N/A</v>
      </c>
      <c r="I351" s="6" t="e" cm="1">
        <f t="array" ref="I351">(Teams[[#This Row],[remaining]]+60)*Teams[[#This Row],[winners alt]]/_xlfn.XLOOKUP(1,(Table1[year]=Teams[[#This Row],[year]])*(Table1[division]=Teams[[#This Row],[division]]),Table1[available])</f>
        <v>#N/A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E1D4-B1EF-46AC-8AFC-478925480CC3}">
  <dimension ref="A1:C44"/>
  <sheetViews>
    <sheetView topLeftCell="A28" workbookViewId="0">
      <selection activeCell="C43" sqref="C43"/>
    </sheetView>
  </sheetViews>
  <sheetFormatPr defaultRowHeight="14.4" x14ac:dyDescent="0.3"/>
  <sheetData>
    <row r="1" spans="1:3" x14ac:dyDescent="0.3">
      <c r="A1" t="s">
        <v>3</v>
      </c>
      <c r="B1" t="s">
        <v>2</v>
      </c>
      <c r="C1" t="s">
        <v>734</v>
      </c>
    </row>
    <row r="2" spans="1:3" x14ac:dyDescent="0.3">
      <c r="A2">
        <v>2022</v>
      </c>
      <c r="B2" t="s">
        <v>15</v>
      </c>
      <c r="C2">
        <v>1</v>
      </c>
    </row>
    <row r="3" spans="1:3" x14ac:dyDescent="0.3">
      <c r="A3">
        <v>2022</v>
      </c>
      <c r="B3" t="s">
        <v>123</v>
      </c>
      <c r="C3">
        <v>2</v>
      </c>
    </row>
    <row r="4" spans="1:3" x14ac:dyDescent="0.3">
      <c r="A4">
        <v>2022</v>
      </c>
      <c r="B4" t="s">
        <v>132</v>
      </c>
      <c r="C4">
        <v>8</v>
      </c>
    </row>
    <row r="5" spans="1:3" x14ac:dyDescent="0.3">
      <c r="A5">
        <v>2022</v>
      </c>
      <c r="B5" t="s">
        <v>137</v>
      </c>
      <c r="C5">
        <v>9</v>
      </c>
    </row>
    <row r="6" spans="1:3" x14ac:dyDescent="0.3">
      <c r="A6">
        <v>2022</v>
      </c>
      <c r="B6" t="s">
        <v>5</v>
      </c>
      <c r="C6">
        <v>3</v>
      </c>
    </row>
    <row r="7" spans="1:3" x14ac:dyDescent="0.3">
      <c r="A7">
        <v>2022</v>
      </c>
      <c r="B7" t="s">
        <v>19</v>
      </c>
      <c r="C7">
        <v>5</v>
      </c>
    </row>
    <row r="8" spans="1:3" x14ac:dyDescent="0.3">
      <c r="A8">
        <v>2022</v>
      </c>
      <c r="B8" t="s">
        <v>48</v>
      </c>
      <c r="C8">
        <v>10</v>
      </c>
    </row>
    <row r="9" spans="1:3" x14ac:dyDescent="0.3">
      <c r="A9">
        <v>2022</v>
      </c>
      <c r="B9" t="s">
        <v>10</v>
      </c>
      <c r="C9">
        <v>4</v>
      </c>
    </row>
    <row r="10" spans="1:3" x14ac:dyDescent="0.3">
      <c r="A10">
        <v>2022</v>
      </c>
      <c r="B10" t="s">
        <v>266</v>
      </c>
      <c r="C10">
        <v>7</v>
      </c>
    </row>
    <row r="11" spans="1:3" x14ac:dyDescent="0.3">
      <c r="A11">
        <v>2022</v>
      </c>
      <c r="B11" t="s">
        <v>250</v>
      </c>
      <c r="C11">
        <v>6</v>
      </c>
    </row>
    <row r="12" spans="1:3" x14ac:dyDescent="0.3">
      <c r="A12">
        <v>2023</v>
      </c>
      <c r="B12" t="s">
        <v>15</v>
      </c>
      <c r="C12">
        <v>1</v>
      </c>
    </row>
    <row r="13" spans="1:3" x14ac:dyDescent="0.3">
      <c r="A13">
        <v>2023</v>
      </c>
      <c r="B13" t="s">
        <v>123</v>
      </c>
      <c r="C13">
        <v>2</v>
      </c>
    </row>
    <row r="14" spans="1:3" x14ac:dyDescent="0.3">
      <c r="A14">
        <v>2023</v>
      </c>
      <c r="B14" t="s">
        <v>132</v>
      </c>
      <c r="C14">
        <v>11</v>
      </c>
    </row>
    <row r="15" spans="1:3" x14ac:dyDescent="0.3">
      <c r="A15">
        <v>2023</v>
      </c>
      <c r="B15" t="s">
        <v>137</v>
      </c>
      <c r="C15">
        <v>3</v>
      </c>
    </row>
    <row r="16" spans="1:3" x14ac:dyDescent="0.3">
      <c r="A16">
        <v>2023</v>
      </c>
      <c r="B16" t="s">
        <v>5</v>
      </c>
      <c r="C16">
        <v>8</v>
      </c>
    </row>
    <row r="17" spans="1:3" x14ac:dyDescent="0.3">
      <c r="A17">
        <v>2023</v>
      </c>
      <c r="B17" t="s">
        <v>19</v>
      </c>
      <c r="C17">
        <v>5</v>
      </c>
    </row>
    <row r="18" spans="1:3" x14ac:dyDescent="0.3">
      <c r="A18">
        <v>2023</v>
      </c>
      <c r="B18" t="s">
        <v>48</v>
      </c>
      <c r="C18">
        <v>6</v>
      </c>
    </row>
    <row r="19" spans="1:3" x14ac:dyDescent="0.3">
      <c r="A19">
        <v>2023</v>
      </c>
      <c r="B19" t="s">
        <v>10</v>
      </c>
      <c r="C19">
        <v>9</v>
      </c>
    </row>
    <row r="20" spans="1:3" x14ac:dyDescent="0.3">
      <c r="A20">
        <v>2023</v>
      </c>
      <c r="B20" t="s">
        <v>266</v>
      </c>
      <c r="C20">
        <v>4</v>
      </c>
    </row>
    <row r="21" spans="1:3" x14ac:dyDescent="0.3">
      <c r="A21">
        <v>2023</v>
      </c>
      <c r="B21" t="s">
        <v>250</v>
      </c>
      <c r="C21">
        <v>10</v>
      </c>
    </row>
    <row r="22" spans="1:3" x14ac:dyDescent="0.3">
      <c r="A22">
        <v>2023</v>
      </c>
      <c r="B22" t="s">
        <v>241</v>
      </c>
      <c r="C22">
        <v>7</v>
      </c>
    </row>
    <row r="23" spans="1:3" x14ac:dyDescent="0.3">
      <c r="A23">
        <v>2024</v>
      </c>
      <c r="B23" t="s">
        <v>15</v>
      </c>
      <c r="C23">
        <v>2</v>
      </c>
    </row>
    <row r="24" spans="1:3" x14ac:dyDescent="0.3">
      <c r="A24">
        <v>2024</v>
      </c>
      <c r="B24" t="s">
        <v>123</v>
      </c>
      <c r="C24">
        <v>1</v>
      </c>
    </row>
    <row r="25" spans="1:3" x14ac:dyDescent="0.3">
      <c r="A25">
        <v>2024</v>
      </c>
      <c r="B25" t="s">
        <v>132</v>
      </c>
      <c r="C25">
        <v>4</v>
      </c>
    </row>
    <row r="26" spans="1:3" x14ac:dyDescent="0.3">
      <c r="A26">
        <v>2024</v>
      </c>
      <c r="B26" t="s">
        <v>137</v>
      </c>
      <c r="C26">
        <v>3</v>
      </c>
    </row>
    <row r="27" spans="1:3" x14ac:dyDescent="0.3">
      <c r="A27">
        <v>2024</v>
      </c>
      <c r="B27" t="s">
        <v>5</v>
      </c>
      <c r="C27">
        <v>5</v>
      </c>
    </row>
    <row r="28" spans="1:3" x14ac:dyDescent="0.3">
      <c r="A28">
        <v>2024</v>
      </c>
      <c r="B28" t="s">
        <v>19</v>
      </c>
      <c r="C28">
        <v>7</v>
      </c>
    </row>
    <row r="29" spans="1:3" x14ac:dyDescent="0.3">
      <c r="A29">
        <v>2024</v>
      </c>
      <c r="B29" t="s">
        <v>48</v>
      </c>
      <c r="C29">
        <v>8</v>
      </c>
    </row>
    <row r="30" spans="1:3" x14ac:dyDescent="0.3">
      <c r="A30">
        <v>2024</v>
      </c>
      <c r="B30" t="s">
        <v>10</v>
      </c>
      <c r="C30">
        <v>6</v>
      </c>
    </row>
    <row r="31" spans="1:3" x14ac:dyDescent="0.3">
      <c r="A31">
        <v>2024</v>
      </c>
      <c r="B31" t="s">
        <v>266</v>
      </c>
      <c r="C31">
        <v>9</v>
      </c>
    </row>
    <row r="32" spans="1:3" x14ac:dyDescent="0.3">
      <c r="A32">
        <v>2024</v>
      </c>
      <c r="B32" t="s">
        <v>250</v>
      </c>
      <c r="C32">
        <v>11</v>
      </c>
    </row>
    <row r="33" spans="1:3" x14ac:dyDescent="0.3">
      <c r="A33">
        <v>2024</v>
      </c>
      <c r="B33" t="s">
        <v>241</v>
      </c>
      <c r="C33">
        <v>10</v>
      </c>
    </row>
    <row r="34" spans="1:3" x14ac:dyDescent="0.3">
      <c r="A34">
        <v>2025</v>
      </c>
      <c r="B34" t="s">
        <v>15</v>
      </c>
      <c r="C34">
        <v>5</v>
      </c>
    </row>
    <row r="35" spans="1:3" x14ac:dyDescent="0.3">
      <c r="A35">
        <v>2025</v>
      </c>
      <c r="B35" t="s">
        <v>123</v>
      </c>
      <c r="C35">
        <v>7</v>
      </c>
    </row>
    <row r="36" spans="1:3" x14ac:dyDescent="0.3">
      <c r="A36">
        <v>2025</v>
      </c>
      <c r="B36" t="s">
        <v>132</v>
      </c>
      <c r="C36">
        <v>2</v>
      </c>
    </row>
    <row r="37" spans="1:3" x14ac:dyDescent="0.3">
      <c r="A37">
        <v>2025</v>
      </c>
      <c r="B37" t="s">
        <v>137</v>
      </c>
      <c r="C37">
        <v>3</v>
      </c>
    </row>
    <row r="38" spans="1:3" x14ac:dyDescent="0.3">
      <c r="A38">
        <v>2025</v>
      </c>
      <c r="B38" t="s">
        <v>5</v>
      </c>
      <c r="C38">
        <v>1</v>
      </c>
    </row>
    <row r="39" spans="1:3" x14ac:dyDescent="0.3">
      <c r="A39">
        <v>2025</v>
      </c>
      <c r="B39" t="s">
        <v>19</v>
      </c>
      <c r="C39">
        <v>4</v>
      </c>
    </row>
    <row r="40" spans="1:3" x14ac:dyDescent="0.3">
      <c r="A40">
        <v>2025</v>
      </c>
      <c r="B40" t="s">
        <v>48</v>
      </c>
      <c r="C40">
        <v>10</v>
      </c>
    </row>
    <row r="41" spans="1:3" x14ac:dyDescent="0.3">
      <c r="A41">
        <v>2025</v>
      </c>
      <c r="B41" t="s">
        <v>10</v>
      </c>
      <c r="C41">
        <v>8</v>
      </c>
    </row>
    <row r="42" spans="1:3" x14ac:dyDescent="0.3">
      <c r="A42">
        <v>2025</v>
      </c>
      <c r="B42" t="s">
        <v>266</v>
      </c>
      <c r="C42">
        <v>11</v>
      </c>
    </row>
    <row r="43" spans="1:3" x14ac:dyDescent="0.3">
      <c r="A43">
        <v>2025</v>
      </c>
      <c r="B43" t="s">
        <v>250</v>
      </c>
      <c r="C43">
        <v>6</v>
      </c>
    </row>
    <row r="44" spans="1:3" x14ac:dyDescent="0.3">
      <c r="A44">
        <v>2025</v>
      </c>
      <c r="B44" t="s">
        <v>241</v>
      </c>
      <c r="C44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52BF-0EF5-468E-A91E-6A163318D01A}">
  <dimension ref="A1:E29"/>
  <sheetViews>
    <sheetView workbookViewId="0">
      <selection activeCell="B2" sqref="B2"/>
    </sheetView>
  </sheetViews>
  <sheetFormatPr defaultRowHeight="14.4" x14ac:dyDescent="0.3"/>
  <cols>
    <col min="2" max="2" width="9.77734375" bestFit="1" customWidth="1"/>
    <col min="3" max="3" width="11.33203125" customWidth="1"/>
    <col min="4" max="4" width="12.33203125" customWidth="1"/>
    <col min="5" max="5" width="15.109375" customWidth="1"/>
  </cols>
  <sheetData>
    <row r="1" spans="1:5" x14ac:dyDescent="0.3">
      <c r="A1" t="s">
        <v>3</v>
      </c>
      <c r="B1" t="s">
        <v>1</v>
      </c>
      <c r="C1" t="s">
        <v>746</v>
      </c>
      <c r="D1" t="s">
        <v>747</v>
      </c>
      <c r="E1" t="s">
        <v>748</v>
      </c>
    </row>
    <row r="2" spans="1:5" x14ac:dyDescent="0.3">
      <c r="A2">
        <v>2025</v>
      </c>
      <c r="B2">
        <v>1</v>
      </c>
      <c r="C2" s="1">
        <v>0.80069444444444449</v>
      </c>
      <c r="D2" s="1">
        <v>0.70833333333333337</v>
      </c>
      <c r="E2" s="7">
        <f>1440-C2*1440+D2*1440</f>
        <v>1307</v>
      </c>
    </row>
    <row r="3" spans="1:5" x14ac:dyDescent="0.3">
      <c r="A3">
        <v>2025</v>
      </c>
      <c r="B3">
        <v>2</v>
      </c>
      <c r="C3" s="1">
        <v>0.8305555555555556</v>
      </c>
      <c r="D3" s="1">
        <v>0.70833333333333337</v>
      </c>
      <c r="E3" s="7">
        <f t="shared" ref="E3:E5" si="0">1440-C3*1440+D3*1440</f>
        <v>1264</v>
      </c>
    </row>
    <row r="4" spans="1:5" x14ac:dyDescent="0.3">
      <c r="A4">
        <v>2025</v>
      </c>
      <c r="B4">
        <v>3</v>
      </c>
      <c r="C4" s="1">
        <v>0.875</v>
      </c>
      <c r="D4" s="1">
        <v>0.70833333333333337</v>
      </c>
      <c r="E4" s="7">
        <f t="shared" si="0"/>
        <v>1200</v>
      </c>
    </row>
    <row r="5" spans="1:5" x14ac:dyDescent="0.3">
      <c r="A5">
        <v>2025</v>
      </c>
      <c r="B5">
        <v>4</v>
      </c>
      <c r="C5" s="1">
        <v>0.96388888888888891</v>
      </c>
      <c r="D5" s="1">
        <v>0.70833333333333337</v>
      </c>
      <c r="E5" s="7">
        <f t="shared" si="0"/>
        <v>1072</v>
      </c>
    </row>
    <row r="6" spans="1:5" x14ac:dyDescent="0.3">
      <c r="A6">
        <v>2025</v>
      </c>
      <c r="B6">
        <v>5</v>
      </c>
      <c r="C6" s="1">
        <v>2.0833333333333333E-3</v>
      </c>
      <c r="D6" s="1">
        <v>0.70833333333333337</v>
      </c>
      <c r="E6" s="7">
        <f>(D6-C6)*1440</f>
        <v>1017.0000000000001</v>
      </c>
    </row>
    <row r="7" spans="1:5" x14ac:dyDescent="0.3">
      <c r="A7">
        <v>2025</v>
      </c>
      <c r="B7">
        <v>6</v>
      </c>
      <c r="C7" s="1">
        <v>8.4722222222222227E-2</v>
      </c>
      <c r="D7" s="1">
        <v>0.70833333333333337</v>
      </c>
      <c r="E7" s="7">
        <f t="shared" ref="E7:E8" si="1">(D7-C7)*1440</f>
        <v>898</v>
      </c>
    </row>
    <row r="8" spans="1:5" x14ac:dyDescent="0.3">
      <c r="A8">
        <v>2025</v>
      </c>
      <c r="B8">
        <v>7</v>
      </c>
      <c r="C8" s="1">
        <v>0.20833333333333334</v>
      </c>
      <c r="D8" s="1">
        <v>0.70833333333333337</v>
      </c>
      <c r="E8" s="7">
        <f t="shared" si="1"/>
        <v>720</v>
      </c>
    </row>
    <row r="9" spans="1:5" x14ac:dyDescent="0.3">
      <c r="A9">
        <v>2024</v>
      </c>
      <c r="B9">
        <v>1</v>
      </c>
      <c r="C9" s="1">
        <v>0.85</v>
      </c>
      <c r="D9" s="1">
        <v>0.70833333333333337</v>
      </c>
      <c r="E9" s="7">
        <f>1440-C9*1440+D9*1440</f>
        <v>1236</v>
      </c>
    </row>
    <row r="10" spans="1:5" x14ac:dyDescent="0.3">
      <c r="A10">
        <v>2024</v>
      </c>
      <c r="B10">
        <v>2</v>
      </c>
      <c r="C10" s="1">
        <v>0.94097222222222221</v>
      </c>
      <c r="D10" s="1">
        <v>0.70833333333333337</v>
      </c>
      <c r="E10" s="7">
        <f t="shared" ref="E10:E11" si="2">1440-C10*1440+D10*1440</f>
        <v>1105</v>
      </c>
    </row>
    <row r="11" spans="1:5" x14ac:dyDescent="0.3">
      <c r="A11">
        <v>2024</v>
      </c>
      <c r="B11">
        <v>3</v>
      </c>
      <c r="C11" s="1">
        <v>0.98611111111111116</v>
      </c>
      <c r="D11" s="1">
        <v>0.70833333333333337</v>
      </c>
      <c r="E11" s="7">
        <f t="shared" si="2"/>
        <v>1040</v>
      </c>
    </row>
    <row r="12" spans="1:5" x14ac:dyDescent="0.3">
      <c r="A12">
        <v>2024</v>
      </c>
      <c r="B12">
        <v>4</v>
      </c>
      <c r="C12" s="1">
        <v>0.11180555555555556</v>
      </c>
      <c r="D12" s="1">
        <v>0.70833333333333337</v>
      </c>
      <c r="E12" s="7">
        <f t="shared" ref="E12:E15" si="3">(D12-C12)*1440</f>
        <v>859</v>
      </c>
    </row>
    <row r="13" spans="1:5" x14ac:dyDescent="0.3">
      <c r="A13">
        <v>2024</v>
      </c>
      <c r="B13">
        <v>5</v>
      </c>
      <c r="C13" s="1">
        <v>0.13125000000000001</v>
      </c>
      <c r="D13" s="1">
        <v>0.70833333333333337</v>
      </c>
      <c r="E13" s="7">
        <f t="shared" si="3"/>
        <v>831.00000000000011</v>
      </c>
    </row>
    <row r="14" spans="1:5" x14ac:dyDescent="0.3">
      <c r="A14">
        <v>2024</v>
      </c>
      <c r="B14">
        <v>6</v>
      </c>
      <c r="C14" s="1">
        <v>0.10555555555555556</v>
      </c>
      <c r="D14" s="1">
        <v>0.70833333333333337</v>
      </c>
      <c r="E14" s="7">
        <f t="shared" si="3"/>
        <v>868.00000000000011</v>
      </c>
    </row>
    <row r="15" spans="1:5" x14ac:dyDescent="0.3">
      <c r="A15">
        <v>2024</v>
      </c>
      <c r="B15">
        <v>7</v>
      </c>
      <c r="C15" s="1">
        <v>0.19444444444444445</v>
      </c>
      <c r="D15" s="1">
        <v>0.70833333333333337</v>
      </c>
      <c r="E15" s="7">
        <f t="shared" si="3"/>
        <v>740.00000000000011</v>
      </c>
    </row>
    <row r="16" spans="1:5" x14ac:dyDescent="0.3">
      <c r="A16">
        <v>2023</v>
      </c>
      <c r="B16">
        <v>1</v>
      </c>
      <c r="C16" s="1">
        <v>0.80208333333333337</v>
      </c>
      <c r="D16" s="1">
        <v>0.6875</v>
      </c>
      <c r="E16" s="7">
        <f t="shared" ref="E16:E19" si="4">1440-C16*1440+D16*1440</f>
        <v>1275</v>
      </c>
    </row>
    <row r="17" spans="1:5" x14ac:dyDescent="0.3">
      <c r="A17">
        <v>2023</v>
      </c>
      <c r="B17">
        <v>2</v>
      </c>
      <c r="C17" s="1">
        <v>0.83333333333333337</v>
      </c>
      <c r="D17" s="1">
        <v>0.6875</v>
      </c>
      <c r="E17" s="7">
        <f t="shared" si="4"/>
        <v>1230</v>
      </c>
    </row>
    <row r="18" spans="1:5" x14ac:dyDescent="0.3">
      <c r="A18">
        <v>2023</v>
      </c>
      <c r="B18">
        <v>3</v>
      </c>
      <c r="C18" s="1">
        <v>0.875</v>
      </c>
      <c r="D18" s="1">
        <v>0.6875</v>
      </c>
      <c r="E18" s="7">
        <f t="shared" si="4"/>
        <v>1170</v>
      </c>
    </row>
    <row r="19" spans="1:5" x14ac:dyDescent="0.3">
      <c r="A19">
        <v>2023</v>
      </c>
      <c r="B19">
        <v>4</v>
      </c>
      <c r="C19" s="1">
        <v>0.9375</v>
      </c>
      <c r="D19" s="1">
        <v>0.6875</v>
      </c>
      <c r="E19" s="7">
        <f t="shared" si="4"/>
        <v>1080</v>
      </c>
    </row>
    <row r="20" spans="1:5" x14ac:dyDescent="0.3">
      <c r="A20">
        <v>2023</v>
      </c>
      <c r="B20">
        <v>5</v>
      </c>
      <c r="C20" s="1">
        <v>2.0833333333333332E-2</v>
      </c>
      <c r="D20" s="1">
        <v>0.6875</v>
      </c>
      <c r="E20" s="7">
        <f t="shared" ref="E20:E22" si="5">(D20-C20)*1440</f>
        <v>960</v>
      </c>
    </row>
    <row r="21" spans="1:5" x14ac:dyDescent="0.3">
      <c r="A21">
        <v>2023</v>
      </c>
      <c r="B21">
        <v>6</v>
      </c>
      <c r="C21" s="1">
        <v>4.1666666666666664E-2</v>
      </c>
      <c r="D21" s="1">
        <v>0.6875</v>
      </c>
      <c r="E21" s="7">
        <f t="shared" si="5"/>
        <v>930</v>
      </c>
    </row>
    <row r="22" spans="1:5" x14ac:dyDescent="0.3">
      <c r="A22">
        <v>2023</v>
      </c>
      <c r="B22">
        <v>7</v>
      </c>
      <c r="C22" s="1">
        <v>0.14722222222222223</v>
      </c>
      <c r="D22" s="1">
        <v>0.6875</v>
      </c>
      <c r="E22" s="7">
        <f t="shared" si="5"/>
        <v>778</v>
      </c>
    </row>
    <row r="23" spans="1:5" x14ac:dyDescent="0.3">
      <c r="A23">
        <v>2022</v>
      </c>
      <c r="B23">
        <v>1</v>
      </c>
      <c r="C23" s="1">
        <v>0.95972222222222225</v>
      </c>
      <c r="D23" s="1">
        <v>0.6875</v>
      </c>
      <c r="E23" s="7">
        <f t="shared" ref="E23:E24" si="6">1440-C23*1440+D23*1440</f>
        <v>1048</v>
      </c>
    </row>
    <row r="24" spans="1:5" x14ac:dyDescent="0.3">
      <c r="A24">
        <v>2022</v>
      </c>
      <c r="B24">
        <v>2</v>
      </c>
      <c r="C24" s="1">
        <v>0.95972222222222225</v>
      </c>
      <c r="D24" s="1">
        <v>0.6875</v>
      </c>
      <c r="E24" s="7">
        <f t="shared" si="6"/>
        <v>1048</v>
      </c>
    </row>
    <row r="25" spans="1:5" x14ac:dyDescent="0.3">
      <c r="A25">
        <v>2022</v>
      </c>
      <c r="B25">
        <v>3</v>
      </c>
      <c r="C25" s="1">
        <v>6.25E-2</v>
      </c>
      <c r="D25" s="1">
        <v>0.6875</v>
      </c>
      <c r="E25" s="7">
        <f t="shared" ref="E25:E29" si="7">(D25-C25)*1440</f>
        <v>900</v>
      </c>
    </row>
    <row r="26" spans="1:5" x14ac:dyDescent="0.3">
      <c r="A26">
        <v>2022</v>
      </c>
      <c r="B26">
        <v>4</v>
      </c>
      <c r="C26" s="1">
        <v>6.25E-2</v>
      </c>
      <c r="D26" s="1">
        <v>0.6875</v>
      </c>
      <c r="E26" s="7">
        <f t="shared" si="7"/>
        <v>900</v>
      </c>
    </row>
    <row r="27" spans="1:5" x14ac:dyDescent="0.3">
      <c r="A27">
        <v>2022</v>
      </c>
      <c r="B27">
        <v>5</v>
      </c>
      <c r="C27" s="1">
        <v>0.16666666666666666</v>
      </c>
      <c r="D27" s="1">
        <v>0.6875</v>
      </c>
      <c r="E27" s="7">
        <f t="shared" si="7"/>
        <v>750</v>
      </c>
    </row>
    <row r="28" spans="1:5" x14ac:dyDescent="0.3">
      <c r="A28">
        <v>2022</v>
      </c>
      <c r="B28">
        <v>6</v>
      </c>
      <c r="C28" s="1">
        <v>0.22916666666666666</v>
      </c>
      <c r="D28" s="1">
        <v>0.6875</v>
      </c>
      <c r="E28" s="7">
        <f t="shared" si="7"/>
        <v>660</v>
      </c>
    </row>
    <row r="29" spans="1:5" x14ac:dyDescent="0.3">
      <c r="A29">
        <v>2022</v>
      </c>
      <c r="B29">
        <v>7</v>
      </c>
      <c r="C29" s="1">
        <v>0.23958333333333334</v>
      </c>
      <c r="D29" s="1">
        <v>0.6875</v>
      </c>
      <c r="E29" s="7">
        <f t="shared" si="7"/>
        <v>645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6D5D-A8F7-4631-83EA-624F88404D9C}">
  <dimension ref="A1:E11"/>
  <sheetViews>
    <sheetView tabSelected="1" workbookViewId="0">
      <selection activeCell="A10" sqref="A10"/>
    </sheetView>
  </sheetViews>
  <sheetFormatPr defaultRowHeight="14.4" x14ac:dyDescent="0.3"/>
  <cols>
    <col min="1" max="1" width="14.21875" bestFit="1" customWidth="1"/>
    <col min="2" max="2" width="16.77734375" bestFit="1" customWidth="1"/>
    <col min="3" max="3" width="8.88671875" customWidth="1"/>
    <col min="4" max="4" width="14.21875" bestFit="1" customWidth="1"/>
    <col min="5" max="5" width="15.33203125" bestFit="1" customWidth="1"/>
  </cols>
  <sheetData>
    <row r="1" spans="1:5" x14ac:dyDescent="0.3">
      <c r="D1" s="4" t="s">
        <v>734</v>
      </c>
      <c r="E1" t="s">
        <v>742</v>
      </c>
    </row>
    <row r="3" spans="1:5" x14ac:dyDescent="0.3">
      <c r="A3" s="4" t="s">
        <v>745</v>
      </c>
      <c r="B3" t="s">
        <v>744</v>
      </c>
      <c r="D3" s="4" t="s">
        <v>745</v>
      </c>
      <c r="E3" t="s">
        <v>743</v>
      </c>
    </row>
    <row r="4" spans="1:5" x14ac:dyDescent="0.3">
      <c r="A4" s="5">
        <v>1</v>
      </c>
      <c r="B4" s="1">
        <v>0.58498263888888891</v>
      </c>
      <c r="D4" s="5">
        <v>1</v>
      </c>
      <c r="E4">
        <v>7</v>
      </c>
    </row>
    <row r="5" spans="1:5" x14ac:dyDescent="0.3">
      <c r="A5" s="5">
        <v>2</v>
      </c>
      <c r="B5" s="1">
        <v>0.55843749999999992</v>
      </c>
      <c r="D5" s="5">
        <v>2</v>
      </c>
      <c r="E5">
        <v>6</v>
      </c>
    </row>
    <row r="6" spans="1:5" x14ac:dyDescent="0.3">
      <c r="A6" s="5">
        <v>3</v>
      </c>
      <c r="B6" s="1">
        <v>0.56919191919191925</v>
      </c>
      <c r="D6" s="5">
        <v>3</v>
      </c>
      <c r="E6">
        <v>10</v>
      </c>
    </row>
    <row r="7" spans="1:5" x14ac:dyDescent="0.3">
      <c r="A7" s="5">
        <v>4</v>
      </c>
      <c r="B7" s="1">
        <v>0.59588675213675213</v>
      </c>
      <c r="D7" s="5">
        <v>4</v>
      </c>
      <c r="E7">
        <v>8</v>
      </c>
    </row>
    <row r="8" spans="1:5" x14ac:dyDescent="0.3">
      <c r="A8" s="5">
        <v>5</v>
      </c>
      <c r="B8" s="1">
        <v>0.57206790123456797</v>
      </c>
      <c r="D8" s="5">
        <v>5</v>
      </c>
      <c r="E8">
        <v>4</v>
      </c>
    </row>
    <row r="9" spans="1:5" x14ac:dyDescent="0.3">
      <c r="A9" s="5">
        <v>6</v>
      </c>
      <c r="B9" s="1">
        <v>0.59260752688172047</v>
      </c>
      <c r="D9" s="5">
        <v>6</v>
      </c>
      <c r="E9">
        <v>9</v>
      </c>
    </row>
    <row r="10" spans="1:5" x14ac:dyDescent="0.3">
      <c r="A10" s="5">
        <v>7</v>
      </c>
      <c r="B10" s="1">
        <v>0.55820540935672514</v>
      </c>
      <c r="D10" s="5">
        <v>7</v>
      </c>
      <c r="E10">
        <v>4</v>
      </c>
    </row>
    <row r="11" spans="1:5" x14ac:dyDescent="0.3">
      <c r="A11" s="5" t="s">
        <v>741</v>
      </c>
      <c r="B11" s="1">
        <v>0.57563804286520004</v>
      </c>
      <c r="D11" s="5" t="s">
        <v>741</v>
      </c>
      <c r="E11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77A7CF-8355-44F7-BA5B-BE0BD14BEA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Joint Team List</vt:lpstr>
      <vt:lpstr>Runners</vt:lpstr>
      <vt:lpstr>Teams</vt:lpstr>
      <vt:lpstr>Colleges</vt:lpstr>
      <vt:lpstr>AvailTime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Hauber</dc:creator>
  <cp:lastModifiedBy>Toby Hauber</cp:lastModifiedBy>
  <dcterms:created xsi:type="dcterms:W3CDTF">2026-05-30T07:22:32Z</dcterms:created>
  <dcterms:modified xsi:type="dcterms:W3CDTF">2026-09-29T12:58:17Z</dcterms:modified>
</cp:coreProperties>
</file>